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s/Documents/0_Masterarbeit/"/>
    </mc:Choice>
  </mc:AlternateContent>
  <xr:revisionPtr revIDLastSave="0" documentId="13_ncr:1_{277E4E49-D4EC-E242-92C0-3E7756CE2760}" xr6:coauthVersionLast="47" xr6:coauthVersionMax="47" xr10:uidLastSave="{00000000-0000-0000-0000-000000000000}"/>
  <bookViews>
    <workbookView xWindow="0" yWindow="840" windowWidth="34200" windowHeight="21400" xr2:uid="{77582965-EF30-D043-B951-E1A5CD37F2F8}"/>
  </bookViews>
  <sheets>
    <sheet name="post- vs pre-combustion capture" sheetId="1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F10" i="2"/>
  <c r="E10" i="2"/>
  <c r="F24" i="1"/>
  <c r="G18" i="1"/>
  <c r="F18" i="1"/>
  <c r="E18" i="1"/>
  <c r="F17" i="1"/>
  <c r="G17" i="1"/>
  <c r="E17" i="1"/>
  <c r="H31" i="1"/>
  <c r="I31" i="1" s="1"/>
  <c r="G25" i="1"/>
  <c r="G26" i="1"/>
  <c r="G27" i="1"/>
  <c r="G24" i="1"/>
  <c r="F25" i="1"/>
  <c r="F26" i="1"/>
  <c r="F27" i="1"/>
  <c r="F10" i="1"/>
  <c r="F11" i="1" s="1"/>
  <c r="G10" i="1"/>
  <c r="G11" i="1" s="1"/>
  <c r="E10" i="1"/>
  <c r="E11" i="1" s="1"/>
  <c r="F19" i="1" l="1"/>
  <c r="F31" i="1"/>
  <c r="G19" i="1"/>
  <c r="G28" i="1"/>
  <c r="G32" i="1" s="1"/>
  <c r="K32" i="1" s="1"/>
  <c r="F28" i="1"/>
  <c r="F32" i="1" s="1"/>
  <c r="J32" i="1" l="1"/>
  <c r="G31" i="1" l="1"/>
  <c r="K31" i="1" l="1"/>
  <c r="K33" i="1" s="1"/>
  <c r="J31" i="1"/>
  <c r="J33" i="1"/>
</calcChain>
</file>

<file path=xl/sharedStrings.xml><?xml version="1.0" encoding="utf-8"?>
<sst xmlns="http://schemas.openxmlformats.org/spreadsheetml/2006/main" count="88" uniqueCount="49">
  <si>
    <t>Base Case</t>
  </si>
  <si>
    <t>Case 1A</t>
  </si>
  <si>
    <t>Case 3</t>
  </si>
  <si>
    <t>w/ capture</t>
  </si>
  <si>
    <t>t/h</t>
  </si>
  <si>
    <t>NG to Feedstock</t>
  </si>
  <si>
    <t>NG to Fuel</t>
  </si>
  <si>
    <t>LHV</t>
  </si>
  <si>
    <t>MJ/kg</t>
  </si>
  <si>
    <t>kg/t</t>
  </si>
  <si>
    <t>MWh/MJ</t>
  </si>
  <si>
    <t>MW</t>
  </si>
  <si>
    <t>NA</t>
  </si>
  <si>
    <t>Extra Heat for Capture Plant (delta in - delta generated (out))</t>
  </si>
  <si>
    <t>Inlet Stream</t>
  </si>
  <si>
    <t>Extra Electricity for Capture Plant</t>
  </si>
  <si>
    <t>H2 Plant</t>
  </si>
  <si>
    <t>COGEN Plant Auxiliaries, Utilities, BOP</t>
  </si>
  <si>
    <t>CO2 Capture Plant</t>
  </si>
  <si>
    <t>CO2 Compression and Drying</t>
  </si>
  <si>
    <t>delta H2 Plant</t>
  </si>
  <si>
    <t>delta COGEN Plant Auxiliaries, Utilities, BOP</t>
  </si>
  <si>
    <t>delta CO2 Capture Plant</t>
  </si>
  <si>
    <t>delta CO2 Compression and Drying</t>
  </si>
  <si>
    <t>MWh/h</t>
  </si>
  <si>
    <t>Specific Extra Heat for Capture Plant</t>
  </si>
  <si>
    <t>Specific Extra Electricity for Capture Plant</t>
  </si>
  <si>
    <t>MWh Extra Heat/MWh NG Feed</t>
  </si>
  <si>
    <t>MWh Extra Electricity/MWh NG Feed</t>
  </si>
  <si>
    <t>Boiler Efficiency</t>
  </si>
  <si>
    <t>Price Factors</t>
  </si>
  <si>
    <t>pre-combustion</t>
  </si>
  <si>
    <t>post-combustion</t>
  </si>
  <si>
    <t>delta Specific Extra Energy Costs</t>
  </si>
  <si>
    <t>Specific Extra Energy Costs of post-combustion</t>
  </si>
  <si>
    <t>Extra Steam for Capture Plant</t>
  </si>
  <si>
    <t>h_Condensate_saturated (0,44 MPa, 147°C)</t>
  </si>
  <si>
    <t>h_LP-steam (0,44 MPa, 177°C)</t>
  </si>
  <si>
    <t>kJ/kg</t>
  </si>
  <si>
    <t>https://www.nist.gov/system/files/documents/srd/NISTIR5078-Tab2.pdf</t>
  </si>
  <si>
    <t>https://webbook.nist.gov/cgi/fluid.cgi?T=450.15&amp;PLow=0.4&amp;PHigh=0.48&amp;PInc=0.04&amp;Digits=5&amp;ID=C7732185&amp;Action=Load&amp;Type=IsoTherm&amp;TUnit=K&amp;PUnit=MPa&amp;DUnit=kg%2Fm3&amp;HUnit=kJ%2Fkg&amp;WUnit=m%2Fs&amp;VisUnit=uPa*s&amp;STUnit=N%2Fm&amp;RefState=DEF</t>
  </si>
  <si>
    <t>MJ/kJ</t>
  </si>
  <si>
    <t>Estimated Utility Consumptiosn</t>
  </si>
  <si>
    <t>Outlet Stream</t>
  </si>
  <si>
    <t>H2 to B.L.</t>
  </si>
  <si>
    <t>NG in</t>
  </si>
  <si>
    <t>Molar Weight</t>
  </si>
  <si>
    <t>g/mol</t>
  </si>
  <si>
    <t>kmol/h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</si>
</sst>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6"/>
      <color rgb="FF1212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9" fontId="0" fillId="0" borderId="0" xfId="1" applyFont="1"/>
    <xf numFmtId="0" fontId="0" fillId="0" borderId="3" xfId="0" applyBorder="1"/>
    <xf numFmtId="0" fontId="6" fillId="0" borderId="0" xfId="0" applyFont="1"/>
    <xf numFmtId="0" fontId="6" fillId="0" borderId="2" xfId="0" applyFont="1" applyBorder="1"/>
    <xf numFmtId="0" fontId="4" fillId="2" borderId="0" xfId="0" applyFont="1" applyFill="1"/>
    <xf numFmtId="0" fontId="3" fillId="0" borderId="0" xfId="2"/>
    <xf numFmtId="0" fontId="4" fillId="0" borderId="2" xfId="0" applyFont="1" applyBorder="1"/>
    <xf numFmtId="0" fontId="7" fillId="0" borderId="0" xfId="0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ebbook.nist.gov/cgi/fluid.cgi?T=450.15&amp;PLow=0.4&amp;PHigh=0.48&amp;PInc=0.04&amp;Digits=5&amp;ID=C7732185&amp;Action=Load&amp;Type=IsoTherm&amp;TUnit=K&amp;PUnit=MPa&amp;DUnit=kg%2Fm3&amp;HUnit=kJ%2Fkg&amp;WUnit=m%2Fs&amp;VisUnit=uPa*s&amp;STUnit=N%2Fm&amp;RefState=DEF" TargetMode="External"/><Relationship Id="rId1" Type="http://schemas.openxmlformats.org/officeDocument/2006/relationships/hyperlink" Target="https://www.nist.gov/system/files/documents/srd/NISTIR5078-Tab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DAD5-1565-6744-90C9-213FDC851319}">
  <dimension ref="B3:K36"/>
  <sheetViews>
    <sheetView showGridLines="0" tabSelected="1" workbookViewId="0">
      <selection activeCell="K30" sqref="K30"/>
    </sheetView>
  </sheetViews>
  <sheetFormatPr baseColWidth="10" defaultRowHeight="16" x14ac:dyDescent="0.2"/>
  <cols>
    <col min="2" max="2" width="7" customWidth="1"/>
    <col min="3" max="3" width="52.83203125" bestFit="1" customWidth="1"/>
    <col min="4" max="4" width="32.83203125" bestFit="1" customWidth="1"/>
    <col min="6" max="6" width="14" bestFit="1" customWidth="1"/>
    <col min="7" max="7" width="14.83203125" bestFit="1" customWidth="1"/>
    <col min="8" max="8" width="14.33203125" bestFit="1" customWidth="1"/>
    <col min="9" max="9" width="12.1640625" bestFit="1" customWidth="1"/>
    <col min="10" max="10" width="28.1640625" bestFit="1" customWidth="1"/>
    <col min="11" max="11" width="40.5" bestFit="1" customWidth="1"/>
  </cols>
  <sheetData>
    <row r="3" spans="2:8" x14ac:dyDescent="0.2">
      <c r="E3" s="8" t="s">
        <v>0</v>
      </c>
      <c r="F3" s="8" t="s">
        <v>1</v>
      </c>
      <c r="G3" s="8" t="s">
        <v>2</v>
      </c>
    </row>
    <row r="4" spans="2:8" x14ac:dyDescent="0.2">
      <c r="B4" s="3"/>
      <c r="C4" s="3"/>
      <c r="D4" s="3"/>
      <c r="E4" s="9" t="s">
        <v>3</v>
      </c>
      <c r="F4" s="9" t="s">
        <v>31</v>
      </c>
      <c r="G4" s="9" t="s">
        <v>32</v>
      </c>
    </row>
    <row r="5" spans="2:8" x14ac:dyDescent="0.2">
      <c r="B5" s="8" t="s">
        <v>14</v>
      </c>
    </row>
    <row r="6" spans="2:8" x14ac:dyDescent="0.2">
      <c r="C6" t="s">
        <v>5</v>
      </c>
      <c r="D6" t="s">
        <v>4</v>
      </c>
      <c r="E6" s="4">
        <v>26.231000000000002</v>
      </c>
      <c r="F6" s="4">
        <v>26.262</v>
      </c>
      <c r="G6" s="4">
        <v>26.231000000000002</v>
      </c>
    </row>
    <row r="7" spans="2:8" x14ac:dyDescent="0.2">
      <c r="C7" t="s">
        <v>6</v>
      </c>
      <c r="D7" t="s">
        <v>4</v>
      </c>
      <c r="E7" s="4">
        <v>4.3319999999999999</v>
      </c>
      <c r="F7" s="4">
        <v>5.3</v>
      </c>
      <c r="G7" s="4">
        <v>7.3470000000000004</v>
      </c>
    </row>
    <row r="8" spans="2:8" x14ac:dyDescent="0.2">
      <c r="C8" t="s">
        <v>7</v>
      </c>
      <c r="D8" t="s">
        <v>8</v>
      </c>
      <c r="E8" s="4">
        <v>46.5</v>
      </c>
      <c r="F8" s="4">
        <v>46.5</v>
      </c>
      <c r="G8" s="4">
        <v>46.5</v>
      </c>
    </row>
    <row r="9" spans="2:8" x14ac:dyDescent="0.2">
      <c r="D9" t="s">
        <v>9</v>
      </c>
      <c r="E9" s="4">
        <v>1000</v>
      </c>
      <c r="F9" s="4">
        <v>1000</v>
      </c>
      <c r="G9" s="4">
        <v>1000</v>
      </c>
    </row>
    <row r="10" spans="2:8" x14ac:dyDescent="0.2">
      <c r="D10" t="s">
        <v>10</v>
      </c>
      <c r="E10" s="4">
        <f>1/3600</f>
        <v>2.7777777777777778E-4</v>
      </c>
      <c r="F10" s="4">
        <f t="shared" ref="F10:G10" si="0">1/3600</f>
        <v>2.7777777777777778E-4</v>
      </c>
      <c r="G10" s="4">
        <f t="shared" si="0"/>
        <v>2.7777777777777778E-4</v>
      </c>
    </row>
    <row r="11" spans="2:8" x14ac:dyDescent="0.2">
      <c r="C11" t="s">
        <v>5</v>
      </c>
      <c r="D11" t="s">
        <v>24</v>
      </c>
      <c r="E11">
        <f>E6*E$8*E$9*E$10</f>
        <v>338.81708333333336</v>
      </c>
      <c r="F11">
        <f>F6*F$8*F$9*F$10</f>
        <v>339.21749999999997</v>
      </c>
      <c r="G11">
        <f>G6*G$8*G$9*G$10</f>
        <v>338.81708333333336</v>
      </c>
    </row>
    <row r="12" spans="2:8" x14ac:dyDescent="0.2">
      <c r="B12" s="8" t="s">
        <v>42</v>
      </c>
    </row>
    <row r="13" spans="2:8" x14ac:dyDescent="0.2">
      <c r="C13" t="s">
        <v>35</v>
      </c>
      <c r="D13" t="s">
        <v>4</v>
      </c>
      <c r="E13" s="4" t="s">
        <v>12</v>
      </c>
      <c r="F13" s="4">
        <v>64.400000000000006</v>
      </c>
      <c r="G13" s="4">
        <v>96.4</v>
      </c>
    </row>
    <row r="14" spans="2:8" x14ac:dyDescent="0.2">
      <c r="C14" t="s">
        <v>37</v>
      </c>
      <c r="D14" t="s">
        <v>38</v>
      </c>
      <c r="E14" s="4">
        <v>2810</v>
      </c>
      <c r="F14" s="4">
        <v>2810</v>
      </c>
      <c r="G14" s="4">
        <v>2810</v>
      </c>
      <c r="H14" s="11" t="s">
        <v>40</v>
      </c>
    </row>
    <row r="15" spans="2:8" x14ac:dyDescent="0.2">
      <c r="C15" t="s">
        <v>36</v>
      </c>
      <c r="D15" t="s">
        <v>38</v>
      </c>
      <c r="E15" s="4">
        <v>620</v>
      </c>
      <c r="F15" s="4">
        <v>620</v>
      </c>
      <c r="G15" s="4">
        <v>620</v>
      </c>
      <c r="H15" s="11" t="s">
        <v>39</v>
      </c>
    </row>
    <row r="16" spans="2:8" x14ac:dyDescent="0.2">
      <c r="D16" t="s">
        <v>9</v>
      </c>
      <c r="E16" s="4">
        <v>1000</v>
      </c>
      <c r="F16" s="4">
        <v>1000</v>
      </c>
      <c r="G16" s="4">
        <v>1000</v>
      </c>
      <c r="H16" s="11"/>
    </row>
    <row r="17" spans="3:11" x14ac:dyDescent="0.2">
      <c r="D17" t="s">
        <v>41</v>
      </c>
      <c r="E17" s="4">
        <f>1/1000</f>
        <v>1E-3</v>
      </c>
      <c r="F17" s="4">
        <f t="shared" ref="F17:G17" si="1">1/1000</f>
        <v>1E-3</v>
      </c>
      <c r="G17" s="4">
        <f t="shared" si="1"/>
        <v>1E-3</v>
      </c>
      <c r="H17" s="11"/>
    </row>
    <row r="18" spans="3:11" x14ac:dyDescent="0.2">
      <c r="C18" s="3"/>
      <c r="D18" s="3" t="s">
        <v>10</v>
      </c>
      <c r="E18" s="12">
        <f>1/3600</f>
        <v>2.7777777777777778E-4</v>
      </c>
      <c r="F18" s="12">
        <f t="shared" ref="F18:G18" si="2">1/3600</f>
        <v>2.7777777777777778E-4</v>
      </c>
      <c r="G18" s="12">
        <f t="shared" si="2"/>
        <v>2.7777777777777778E-4</v>
      </c>
      <c r="H18" s="11"/>
    </row>
    <row r="19" spans="3:11" x14ac:dyDescent="0.2">
      <c r="C19" s="1" t="s">
        <v>13</v>
      </c>
      <c r="D19" s="1" t="s">
        <v>11</v>
      </c>
      <c r="E19" s="1" t="s">
        <v>12</v>
      </c>
      <c r="F19" s="1">
        <f>F13*(F14-F15)*F16*F17*F18</f>
        <v>39.176666666666669</v>
      </c>
      <c r="G19" s="1">
        <f>G13*(G14-G15)*G16*G17*G18</f>
        <v>58.643333333333331</v>
      </c>
    </row>
    <row r="20" spans="3:11" x14ac:dyDescent="0.2">
      <c r="C20" t="s">
        <v>16</v>
      </c>
      <c r="D20" t="s">
        <v>11</v>
      </c>
      <c r="E20" s="4">
        <v>-1.216</v>
      </c>
      <c r="F20" s="4">
        <v>-1.2569999999999999</v>
      </c>
      <c r="G20" s="4">
        <v>-1.3140000000000001</v>
      </c>
    </row>
    <row r="21" spans="3:11" x14ac:dyDescent="0.2">
      <c r="C21" t="s">
        <v>17</v>
      </c>
      <c r="D21" t="s">
        <v>11</v>
      </c>
      <c r="E21" s="4">
        <v>-0.36599999999999999</v>
      </c>
      <c r="F21" s="4">
        <v>-0.377</v>
      </c>
      <c r="G21" s="4">
        <v>-1.677</v>
      </c>
    </row>
    <row r="22" spans="3:11" x14ac:dyDescent="0.2">
      <c r="C22" t="s">
        <v>18</v>
      </c>
      <c r="D22" t="s">
        <v>11</v>
      </c>
      <c r="E22" s="4">
        <v>0</v>
      </c>
      <c r="F22" s="4">
        <v>-0.56899999999999995</v>
      </c>
      <c r="G22" s="4">
        <v>-2.0009999999999999</v>
      </c>
    </row>
    <row r="23" spans="3:11" x14ac:dyDescent="0.2">
      <c r="C23" t="s">
        <v>19</v>
      </c>
      <c r="D23" t="s">
        <v>11</v>
      </c>
      <c r="E23" s="4">
        <v>0</v>
      </c>
      <c r="F23" s="4">
        <v>-3.0049999999999999</v>
      </c>
      <c r="G23" s="4">
        <v>-6.282</v>
      </c>
    </row>
    <row r="24" spans="3:11" x14ac:dyDescent="0.2">
      <c r="C24" t="s">
        <v>20</v>
      </c>
      <c r="D24" t="s">
        <v>11</v>
      </c>
      <c r="E24" t="s">
        <v>12</v>
      </c>
      <c r="F24">
        <f>E20-F20</f>
        <v>4.0999999999999925E-2</v>
      </c>
      <c r="G24">
        <f>E20-G20</f>
        <v>9.8000000000000087E-2</v>
      </c>
    </row>
    <row r="25" spans="3:11" x14ac:dyDescent="0.2">
      <c r="C25" t="s">
        <v>21</v>
      </c>
      <c r="D25" t="s">
        <v>11</v>
      </c>
      <c r="E25" t="s">
        <v>12</v>
      </c>
      <c r="F25">
        <f t="shared" ref="F25:F27" si="3">E21-F21</f>
        <v>1.100000000000001E-2</v>
      </c>
      <c r="G25">
        <f t="shared" ref="G25:G27" si="4">E21-G21</f>
        <v>1.3109999999999999</v>
      </c>
    </row>
    <row r="26" spans="3:11" x14ac:dyDescent="0.2">
      <c r="C26" t="s">
        <v>22</v>
      </c>
      <c r="D26" t="s">
        <v>11</v>
      </c>
      <c r="E26" t="s">
        <v>12</v>
      </c>
      <c r="F26">
        <f t="shared" si="3"/>
        <v>0.56899999999999995</v>
      </c>
      <c r="G26">
        <f t="shared" si="4"/>
        <v>2.0009999999999999</v>
      </c>
    </row>
    <row r="27" spans="3:11" x14ac:dyDescent="0.2">
      <c r="C27" t="s">
        <v>23</v>
      </c>
      <c r="D27" t="s">
        <v>11</v>
      </c>
      <c r="E27" t="s">
        <v>12</v>
      </c>
      <c r="F27">
        <f t="shared" si="3"/>
        <v>3.0049999999999999</v>
      </c>
      <c r="G27">
        <f t="shared" si="4"/>
        <v>6.282</v>
      </c>
    </row>
    <row r="28" spans="3:11" ht="17" thickBot="1" x14ac:dyDescent="0.25">
      <c r="C28" s="2" t="s">
        <v>15</v>
      </c>
      <c r="D28" s="2" t="s">
        <v>11</v>
      </c>
      <c r="E28" s="2" t="s">
        <v>12</v>
      </c>
      <c r="F28" s="2">
        <f>SUM(F24:F27)</f>
        <v>3.6259999999999999</v>
      </c>
      <c r="G28" s="2">
        <f>SUM(G24:G27)</f>
        <v>9.6920000000000002</v>
      </c>
    </row>
    <row r="30" spans="3:11" x14ac:dyDescent="0.2">
      <c r="H30" s="9" t="s">
        <v>29</v>
      </c>
      <c r="I30" s="9" t="s">
        <v>30</v>
      </c>
      <c r="J30" s="9" t="s">
        <v>33</v>
      </c>
      <c r="K30" s="9" t="s">
        <v>34</v>
      </c>
    </row>
    <row r="31" spans="3:11" x14ac:dyDescent="0.2">
      <c r="C31" s="1" t="s">
        <v>25</v>
      </c>
      <c r="D31" s="1" t="s">
        <v>27</v>
      </c>
      <c r="E31" s="1" t="s">
        <v>12</v>
      </c>
      <c r="F31" s="1">
        <f>F19/F11</f>
        <v>0.11549129000321821</v>
      </c>
      <c r="G31" s="1">
        <f>G19/G11</f>
        <v>0.17308257528336946</v>
      </c>
      <c r="H31" s="10">
        <f>0.95</f>
        <v>0.95</v>
      </c>
      <c r="I31" s="5">
        <f>1/H31</f>
        <v>1.0526315789473684</v>
      </c>
      <c r="J31">
        <f>(G31-F31)*I31</f>
        <v>6.0622405558053934E-2</v>
      </c>
      <c r="K31">
        <f>G31*I31</f>
        <v>0.18219218450880995</v>
      </c>
    </row>
    <row r="32" spans="3:11" ht="17" thickBot="1" x14ac:dyDescent="0.25">
      <c r="C32" s="1" t="s">
        <v>26</v>
      </c>
      <c r="D32" s="1" t="s">
        <v>28</v>
      </c>
      <c r="E32" s="1" t="s">
        <v>12</v>
      </c>
      <c r="F32" s="1">
        <f>F28/F11</f>
        <v>1.0689307008040565E-2</v>
      </c>
      <c r="G32" s="1">
        <f>G28/G11</f>
        <v>2.8605405325636619E-2</v>
      </c>
      <c r="I32" s="10">
        <v>2.5</v>
      </c>
      <c r="J32" s="7">
        <f>(G32-F32)*I32</f>
        <v>4.479024579399013E-2</v>
      </c>
      <c r="K32" s="7">
        <f>G32*I32</f>
        <v>7.1513513314091545E-2</v>
      </c>
    </row>
    <row r="33" spans="9:11" x14ac:dyDescent="0.2">
      <c r="J33" s="6">
        <f>SUM(J31:J32)</f>
        <v>0.10541265135204406</v>
      </c>
      <c r="K33" s="6">
        <f>SUM(K31:K32)</f>
        <v>0.25370569782290148</v>
      </c>
    </row>
    <row r="36" spans="9:11" ht="21" x14ac:dyDescent="0.25">
      <c r="I36" s="13"/>
    </row>
  </sheetData>
  <hyperlinks>
    <hyperlink ref="H15" r:id="rId1" xr:uid="{BF8EBFBC-DDAB-BD46-B713-F15AC8B1D0FD}"/>
    <hyperlink ref="H14" r:id="rId2" xr:uid="{E470D592-BD2A-CD49-B4D3-47F90000E563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451F-4782-5149-A9F9-1B0180CF03E3}">
  <dimension ref="B3:G15"/>
  <sheetViews>
    <sheetView workbookViewId="0">
      <selection activeCell="G15" sqref="G15"/>
    </sheetView>
  </sheetViews>
  <sheetFormatPr baseColWidth="10" defaultRowHeight="16" x14ac:dyDescent="0.2"/>
  <sheetData>
    <row r="3" spans="2:7" x14ac:dyDescent="0.2">
      <c r="E3" s="8" t="s">
        <v>0</v>
      </c>
      <c r="F3" s="8" t="s">
        <v>1</v>
      </c>
      <c r="G3" s="8" t="s">
        <v>2</v>
      </c>
    </row>
    <row r="4" spans="2:7" x14ac:dyDescent="0.2">
      <c r="B4" s="3"/>
      <c r="C4" s="3"/>
      <c r="D4" s="3"/>
      <c r="E4" s="9" t="s">
        <v>3</v>
      </c>
      <c r="F4" s="9" t="s">
        <v>31</v>
      </c>
      <c r="G4" s="9" t="s">
        <v>32</v>
      </c>
    </row>
    <row r="5" spans="2:7" x14ac:dyDescent="0.2">
      <c r="B5" s="8" t="s">
        <v>14</v>
      </c>
    </row>
    <row r="6" spans="2:7" x14ac:dyDescent="0.2">
      <c r="C6" t="s">
        <v>5</v>
      </c>
      <c r="D6" t="s">
        <v>4</v>
      </c>
      <c r="E6" s="4">
        <v>26.231000000000002</v>
      </c>
      <c r="F6" s="4">
        <v>26.262</v>
      </c>
      <c r="G6" s="4">
        <v>26.231000000000002</v>
      </c>
    </row>
    <row r="7" spans="2:7" x14ac:dyDescent="0.2">
      <c r="C7" t="s">
        <v>6</v>
      </c>
      <c r="D7" t="s">
        <v>4</v>
      </c>
      <c r="E7" s="4">
        <v>4.3319999999999999</v>
      </c>
      <c r="F7" s="4">
        <v>5.3</v>
      </c>
      <c r="G7" s="4">
        <v>7.3470000000000004</v>
      </c>
    </row>
    <row r="8" spans="2:7" x14ac:dyDescent="0.2">
      <c r="C8" t="s">
        <v>7</v>
      </c>
      <c r="D8" t="s">
        <v>8</v>
      </c>
      <c r="E8" s="4">
        <v>46.5</v>
      </c>
      <c r="F8" s="4">
        <v>46.5</v>
      </c>
      <c r="G8" s="4">
        <v>46.5</v>
      </c>
    </row>
    <row r="9" spans="2:7" x14ac:dyDescent="0.2">
      <c r="D9" t="s">
        <v>9</v>
      </c>
      <c r="E9" s="4">
        <v>1000</v>
      </c>
      <c r="F9" s="4">
        <v>1000</v>
      </c>
      <c r="G9" s="4">
        <v>1000</v>
      </c>
    </row>
    <row r="10" spans="2:7" x14ac:dyDescent="0.2">
      <c r="D10" t="s">
        <v>10</v>
      </c>
      <c r="E10" s="4">
        <f>1/3600</f>
        <v>2.7777777777777778E-4</v>
      </c>
      <c r="F10" s="4">
        <f t="shared" ref="F10:G10" si="0">1/3600</f>
        <v>2.7777777777777778E-4</v>
      </c>
      <c r="G10" s="4">
        <f t="shared" si="0"/>
        <v>2.7777777777777778E-4</v>
      </c>
    </row>
    <row r="11" spans="2:7" x14ac:dyDescent="0.2">
      <c r="C11" t="s">
        <v>46</v>
      </c>
      <c r="D11" t="s">
        <v>47</v>
      </c>
      <c r="E11" s="4">
        <v>16</v>
      </c>
      <c r="F11" s="4">
        <v>16</v>
      </c>
      <c r="G11" s="4">
        <v>16</v>
      </c>
    </row>
    <row r="12" spans="2:7" x14ac:dyDescent="0.2">
      <c r="E12" s="4"/>
      <c r="F12" s="4"/>
      <c r="G12" s="4"/>
    </row>
    <row r="13" spans="2:7" x14ac:dyDescent="0.2">
      <c r="C13" t="s">
        <v>45</v>
      </c>
      <c r="D13" t="s">
        <v>48</v>
      </c>
      <c r="G13" s="4">
        <v>1863.5</v>
      </c>
    </row>
    <row r="14" spans="2:7" x14ac:dyDescent="0.2">
      <c r="B14" t="s">
        <v>43</v>
      </c>
    </row>
    <row r="15" spans="2:7" x14ac:dyDescent="0.2">
      <c r="C15" t="s">
        <v>44</v>
      </c>
      <c r="D15" t="s">
        <v>48</v>
      </c>
      <c r="E15" s="4">
        <v>100000</v>
      </c>
      <c r="F15" s="4">
        <v>100000</v>
      </c>
      <c r="G15" s="4">
        <v>4461.5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post- vs pre-combustion capture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Schüler | CKS</dc:creator>
  <cp:lastModifiedBy>Nils Schüler | CKS</cp:lastModifiedBy>
  <dcterms:created xsi:type="dcterms:W3CDTF">2026-05-15T21:29:15Z</dcterms:created>
  <dcterms:modified xsi:type="dcterms:W3CDTF">2026-05-20T09:46:36Z</dcterms:modified>
</cp:coreProperties>
</file>