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s/Documents/0_Masterarbeit/xlsx PFD high-level/"/>
    </mc:Choice>
  </mc:AlternateContent>
  <xr:revisionPtr revIDLastSave="0" documentId="13_ncr:1_{6C4094F7-E1F9-3A49-A288-07E391687BAC}" xr6:coauthVersionLast="47" xr6:coauthVersionMax="47" xr10:uidLastSave="{00000000-0000-0000-0000-000000000000}"/>
  <bookViews>
    <workbookView xWindow="0" yWindow="740" windowWidth="29400" windowHeight="16860" xr2:uid="{305848D7-6D37-8347-8743-884AA3815A8C}"/>
  </bookViews>
  <sheets>
    <sheet name="Output comparison" sheetId="7" r:id="rId1"/>
    <sheet name="OCMC eSMR" sheetId="6" r:id="rId2"/>
    <sheet name="OCMC eSMR NASA" sheetId="9" r:id="rId3"/>
    <sheet name="Sheet1" sheetId="8" r:id="rId4"/>
    <sheet name="SMR, WGSR, C-forming, C2H6" sheetId="4" r:id="rId5"/>
    <sheet name="SMR, rev. DMR, C-forming, C2H6" sheetId="1" r:id="rId6"/>
  </sheets>
  <definedNames>
    <definedName name="solver_adj" localSheetId="1" hidden="1">'OCMC eSMR'!$D$34</definedName>
    <definedName name="solver_adj" localSheetId="2" hidden="1">'OCMC eSMR NASA'!$D$34</definedName>
    <definedName name="solver_adj" localSheetId="4" hidden="1">'SMR, WGSR, C-forming, C2H6'!$AI$23</definedName>
    <definedName name="solver_cvg" localSheetId="1" hidden="1">0.0001</definedName>
    <definedName name="solver_cvg" localSheetId="2" hidden="1">0.0001</definedName>
    <definedName name="solver_cvg" localSheetId="4" hidden="1">0.0001</definedName>
    <definedName name="solver_drv" localSheetId="1" hidden="1">1</definedName>
    <definedName name="solver_drv" localSheetId="2" hidden="1">1</definedName>
    <definedName name="solver_drv" localSheetId="4" hidden="1">1</definedName>
    <definedName name="solver_eng" localSheetId="1" hidden="1">1</definedName>
    <definedName name="solver_eng" localSheetId="2" hidden="1">1</definedName>
    <definedName name="solver_eng" localSheetId="4" hidden="1">1</definedName>
    <definedName name="solver_itr" localSheetId="1" hidden="1">2147483647</definedName>
    <definedName name="solver_itr" localSheetId="2" hidden="1">2147483647</definedName>
    <definedName name="solver_itr" localSheetId="4" hidden="1">2147483647</definedName>
    <definedName name="solver_lin" localSheetId="1" hidden="1">2</definedName>
    <definedName name="solver_lin" localSheetId="2" hidden="1">2</definedName>
    <definedName name="solver_lin" localSheetId="4" hidden="1">2</definedName>
    <definedName name="solver_mip" localSheetId="1" hidden="1">2147483647</definedName>
    <definedName name="solver_mip" localSheetId="2" hidden="1">2147483647</definedName>
    <definedName name="solver_mip" localSheetId="4" hidden="1">2147483647</definedName>
    <definedName name="solver_mni" localSheetId="1" hidden="1">30</definedName>
    <definedName name="solver_mni" localSheetId="2" hidden="1">30</definedName>
    <definedName name="solver_mni" localSheetId="4" hidden="1">30</definedName>
    <definedName name="solver_mrt" localSheetId="1" hidden="1">0.075</definedName>
    <definedName name="solver_mrt" localSheetId="2" hidden="1">0.075</definedName>
    <definedName name="solver_mrt" localSheetId="4" hidden="1">0.075</definedName>
    <definedName name="solver_msl" localSheetId="1" hidden="1">2</definedName>
    <definedName name="solver_msl" localSheetId="2" hidden="1">2</definedName>
    <definedName name="solver_msl" localSheetId="4" hidden="1">2</definedName>
    <definedName name="solver_neg" localSheetId="1" hidden="1">1</definedName>
    <definedName name="solver_neg" localSheetId="2" hidden="1">1</definedName>
    <definedName name="solver_neg" localSheetId="4" hidden="1">1</definedName>
    <definedName name="solver_nod" localSheetId="1" hidden="1">2147483647</definedName>
    <definedName name="solver_nod" localSheetId="2" hidden="1">2147483647</definedName>
    <definedName name="solver_nod" localSheetId="4" hidden="1">2147483647</definedName>
    <definedName name="solver_num" localSheetId="1" hidden="1">0</definedName>
    <definedName name="solver_num" localSheetId="2" hidden="1">0</definedName>
    <definedName name="solver_num" localSheetId="4" hidden="1">0</definedName>
    <definedName name="solver_opt" localSheetId="1" hidden="1">'OCMC eSMR'!$D$39</definedName>
    <definedName name="solver_opt" localSheetId="2" hidden="1">'OCMC eSMR NASA'!$D$39</definedName>
    <definedName name="solver_opt" localSheetId="4" hidden="1">'SMR, WGSR, C-forming, C2H6'!$AJ$50</definedName>
    <definedName name="solver_pre" localSheetId="1" hidden="1">0.000001</definedName>
    <definedName name="solver_pre" localSheetId="2" hidden="1">0.000001</definedName>
    <definedName name="solver_pre" localSheetId="4" hidden="1">0.000001</definedName>
    <definedName name="solver_rbv" localSheetId="1" hidden="1">1</definedName>
    <definedName name="solver_rbv" localSheetId="2" hidden="1">1</definedName>
    <definedName name="solver_rbv" localSheetId="4" hidden="1">1</definedName>
    <definedName name="solver_rlx" localSheetId="1" hidden="1">1</definedName>
    <definedName name="solver_rlx" localSheetId="2" hidden="1">1</definedName>
    <definedName name="solver_rlx" localSheetId="4" hidden="1">2</definedName>
    <definedName name="solver_rsd" localSheetId="1" hidden="1">0</definedName>
    <definedName name="solver_rsd" localSheetId="2" hidden="1">0</definedName>
    <definedName name="solver_rsd" localSheetId="4" hidden="1">0</definedName>
    <definedName name="solver_scl" localSheetId="1" hidden="1">2</definedName>
    <definedName name="solver_scl" localSheetId="2" hidden="1">2</definedName>
    <definedName name="solver_scl" localSheetId="4" hidden="1">1</definedName>
    <definedName name="solver_sho" localSheetId="1" hidden="1">2</definedName>
    <definedName name="solver_sho" localSheetId="2" hidden="1">2</definedName>
    <definedName name="solver_sho" localSheetId="4" hidden="1">2</definedName>
    <definedName name="solver_ssz" localSheetId="1" hidden="1">100</definedName>
    <definedName name="solver_ssz" localSheetId="2" hidden="1">100</definedName>
    <definedName name="solver_ssz" localSheetId="4" hidden="1">100</definedName>
    <definedName name="solver_tim" localSheetId="1" hidden="1">2147483647</definedName>
    <definedName name="solver_tim" localSheetId="2" hidden="1">2147483647</definedName>
    <definedName name="solver_tim" localSheetId="4" hidden="1">2147483647</definedName>
    <definedName name="solver_tol" localSheetId="1" hidden="1">0.01</definedName>
    <definedName name="solver_tol" localSheetId="2" hidden="1">0.01</definedName>
    <definedName name="solver_tol" localSheetId="4" hidden="1">0.01</definedName>
    <definedName name="solver_typ" localSheetId="1" hidden="1">3</definedName>
    <definedName name="solver_typ" localSheetId="2" hidden="1">3</definedName>
    <definedName name="solver_typ" localSheetId="4" hidden="1">3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er" localSheetId="1" hidden="1">2</definedName>
    <definedName name="solver_ver" localSheetId="2" hidden="1">2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7" l="1"/>
  <c r="T33" i="6"/>
  <c r="S33" i="6"/>
  <c r="X35" i="6"/>
  <c r="E39" i="9"/>
  <c r="E38" i="9"/>
  <c r="AG140" i="9"/>
  <c r="AG139" i="9"/>
  <c r="AG138" i="9"/>
  <c r="AG137" i="9"/>
  <c r="AG134" i="9"/>
  <c r="AG133" i="9"/>
  <c r="AG132" i="9"/>
  <c r="AG131" i="9"/>
  <c r="AG125" i="9"/>
  <c r="AG124" i="9"/>
  <c r="AG123" i="9"/>
  <c r="AG122" i="9"/>
  <c r="Y134" i="6"/>
  <c r="Y133" i="6"/>
  <c r="Y132" i="6"/>
  <c r="Y131" i="6"/>
  <c r="Y125" i="6"/>
  <c r="Y124" i="6"/>
  <c r="Y123" i="6"/>
  <c r="Y122" i="6"/>
  <c r="Y120" i="6"/>
  <c r="Y119" i="6"/>
  <c r="Y118" i="6"/>
  <c r="Y117" i="6"/>
  <c r="AG118" i="9"/>
  <c r="AG119" i="9"/>
  <c r="AG120" i="9"/>
  <c r="AG117" i="9"/>
  <c r="AD134" i="9"/>
  <c r="AD133" i="9"/>
  <c r="AD132" i="9"/>
  <c r="AD131" i="9"/>
  <c r="AD125" i="9"/>
  <c r="AD124" i="9"/>
  <c r="AD123" i="9"/>
  <c r="AD122" i="9"/>
  <c r="AD118" i="9"/>
  <c r="AD119" i="9"/>
  <c r="AD120" i="9"/>
  <c r="AD117" i="9"/>
  <c r="AC140" i="9"/>
  <c r="AB140" i="9"/>
  <c r="AA140" i="9"/>
  <c r="Z140" i="9"/>
  <c r="Y140" i="9"/>
  <c r="X140" i="9"/>
  <c r="W140" i="9"/>
  <c r="V140" i="9"/>
  <c r="U140" i="9"/>
  <c r="T140" i="9"/>
  <c r="AC139" i="9"/>
  <c r="AB139" i="9"/>
  <c r="AA139" i="9"/>
  <c r="Z139" i="9"/>
  <c r="Y139" i="9"/>
  <c r="X139" i="9"/>
  <c r="W139" i="9"/>
  <c r="V139" i="9"/>
  <c r="U139" i="9"/>
  <c r="T139" i="9"/>
  <c r="AC138" i="9"/>
  <c r="AB138" i="9"/>
  <c r="AA138" i="9"/>
  <c r="Z138" i="9"/>
  <c r="Y138" i="9"/>
  <c r="X138" i="9"/>
  <c r="W138" i="9"/>
  <c r="V138" i="9"/>
  <c r="U138" i="9"/>
  <c r="T138" i="9"/>
  <c r="AC137" i="9"/>
  <c r="AB137" i="9"/>
  <c r="AA137" i="9"/>
  <c r="Z137" i="9"/>
  <c r="Y137" i="9"/>
  <c r="X137" i="9"/>
  <c r="W137" i="9"/>
  <c r="V137" i="9"/>
  <c r="U137" i="9"/>
  <c r="T137" i="9"/>
  <c r="AC134" i="9"/>
  <c r="AB134" i="9"/>
  <c r="AA134" i="9"/>
  <c r="Z134" i="9"/>
  <c r="Y134" i="9"/>
  <c r="X134" i="9"/>
  <c r="W134" i="9"/>
  <c r="V134" i="9"/>
  <c r="U134" i="9"/>
  <c r="T134" i="9"/>
  <c r="AC133" i="9"/>
  <c r="AB133" i="9"/>
  <c r="AA133" i="9"/>
  <c r="Z133" i="9"/>
  <c r="Y133" i="9"/>
  <c r="X133" i="9"/>
  <c r="W133" i="9"/>
  <c r="V133" i="9"/>
  <c r="U133" i="9"/>
  <c r="T133" i="9"/>
  <c r="AC132" i="9"/>
  <c r="AB132" i="9"/>
  <c r="AA132" i="9"/>
  <c r="Z132" i="9"/>
  <c r="Y132" i="9"/>
  <c r="X132" i="9"/>
  <c r="W132" i="9"/>
  <c r="V132" i="9"/>
  <c r="U132" i="9"/>
  <c r="T132" i="9"/>
  <c r="AC131" i="9"/>
  <c r="AB131" i="9"/>
  <c r="AA131" i="9"/>
  <c r="Z131" i="9"/>
  <c r="Y131" i="9"/>
  <c r="X131" i="9"/>
  <c r="W131" i="9"/>
  <c r="V131" i="9"/>
  <c r="U131" i="9"/>
  <c r="T131" i="9"/>
  <c r="AC125" i="9"/>
  <c r="AB125" i="9"/>
  <c r="AA125" i="9"/>
  <c r="Z125" i="9"/>
  <c r="Y125" i="9"/>
  <c r="X125" i="9"/>
  <c r="W125" i="9"/>
  <c r="V125" i="9"/>
  <c r="U125" i="9"/>
  <c r="T125" i="9"/>
  <c r="AC124" i="9"/>
  <c r="AB124" i="9"/>
  <c r="AA124" i="9"/>
  <c r="Z124" i="9"/>
  <c r="Y124" i="9"/>
  <c r="X124" i="9"/>
  <c r="W124" i="9"/>
  <c r="V124" i="9"/>
  <c r="U124" i="9"/>
  <c r="T124" i="9"/>
  <c r="AC123" i="9"/>
  <c r="AB123" i="9"/>
  <c r="AA123" i="9"/>
  <c r="Z123" i="9"/>
  <c r="Y123" i="9"/>
  <c r="X123" i="9"/>
  <c r="W123" i="9"/>
  <c r="V123" i="9"/>
  <c r="U123" i="9"/>
  <c r="T123" i="9"/>
  <c r="AC122" i="9"/>
  <c r="AB122" i="9"/>
  <c r="AA122" i="9"/>
  <c r="Z122" i="9"/>
  <c r="Y122" i="9"/>
  <c r="X122" i="9"/>
  <c r="W122" i="9"/>
  <c r="V122" i="9"/>
  <c r="U122" i="9"/>
  <c r="T122" i="9"/>
  <c r="T118" i="9"/>
  <c r="U118" i="9"/>
  <c r="V118" i="9"/>
  <c r="W118" i="9"/>
  <c r="X118" i="9"/>
  <c r="Y118" i="9"/>
  <c r="Z118" i="9"/>
  <c r="AA118" i="9"/>
  <c r="AB118" i="9"/>
  <c r="AC118" i="9"/>
  <c r="T119" i="9"/>
  <c r="U119" i="9"/>
  <c r="V119" i="9"/>
  <c r="W119" i="9"/>
  <c r="X119" i="9"/>
  <c r="Y119" i="9"/>
  <c r="Z119" i="9"/>
  <c r="AA119" i="9"/>
  <c r="AB119" i="9"/>
  <c r="AC119" i="9"/>
  <c r="T120" i="9"/>
  <c r="U120" i="9"/>
  <c r="V120" i="9"/>
  <c r="W120" i="9"/>
  <c r="X120" i="9"/>
  <c r="Y120" i="9"/>
  <c r="Z120" i="9"/>
  <c r="AA120" i="9"/>
  <c r="AB120" i="9"/>
  <c r="AC120" i="9"/>
  <c r="U117" i="9"/>
  <c r="V117" i="9"/>
  <c r="W117" i="9"/>
  <c r="X117" i="9"/>
  <c r="Y117" i="9"/>
  <c r="Z117" i="9"/>
  <c r="AA117" i="9"/>
  <c r="AB117" i="9"/>
  <c r="AC117" i="9"/>
  <c r="T117" i="9"/>
  <c r="AD140" i="9"/>
  <c r="AD139" i="9"/>
  <c r="AD138" i="9"/>
  <c r="AD137" i="9"/>
  <c r="H518" i="9"/>
  <c r="G518" i="9"/>
  <c r="H517" i="9"/>
  <c r="G517" i="9"/>
  <c r="H516" i="9"/>
  <c r="G516" i="9"/>
  <c r="H515" i="9"/>
  <c r="G515" i="9"/>
  <c r="J515" i="9" s="1"/>
  <c r="H514" i="9"/>
  <c r="G514" i="9"/>
  <c r="I514" i="9" s="1"/>
  <c r="M513" i="9"/>
  <c r="L513" i="9"/>
  <c r="H513" i="9"/>
  <c r="G513" i="9"/>
  <c r="J513" i="9" s="1"/>
  <c r="M512" i="9"/>
  <c r="L512" i="9"/>
  <c r="K512" i="9"/>
  <c r="J512" i="9"/>
  <c r="I512" i="9"/>
  <c r="H512" i="9"/>
  <c r="G512" i="9"/>
  <c r="H511" i="9"/>
  <c r="G511" i="9"/>
  <c r="J511" i="9" s="1"/>
  <c r="I510" i="9"/>
  <c r="H510" i="9"/>
  <c r="G510" i="9"/>
  <c r="H509" i="9"/>
  <c r="G509" i="9"/>
  <c r="H508" i="9"/>
  <c r="G508" i="9"/>
  <c r="M508" i="9" s="1"/>
  <c r="M507" i="9"/>
  <c r="L507" i="9"/>
  <c r="H507" i="9"/>
  <c r="G507" i="9"/>
  <c r="J507" i="9" s="1"/>
  <c r="H506" i="9"/>
  <c r="G506" i="9"/>
  <c r="I506" i="9" s="1"/>
  <c r="K505" i="9"/>
  <c r="H505" i="9"/>
  <c r="G505" i="9"/>
  <c r="H504" i="9"/>
  <c r="G504" i="9"/>
  <c r="H503" i="9"/>
  <c r="G503" i="9"/>
  <c r="H502" i="9"/>
  <c r="G502" i="9"/>
  <c r="I502" i="9" s="1"/>
  <c r="H501" i="9"/>
  <c r="G501" i="9"/>
  <c r="H500" i="9"/>
  <c r="G500" i="9"/>
  <c r="H499" i="9"/>
  <c r="G499" i="9"/>
  <c r="J499" i="9" s="1"/>
  <c r="M498" i="9"/>
  <c r="L498" i="9"/>
  <c r="K498" i="9"/>
  <c r="H498" i="9"/>
  <c r="G498" i="9"/>
  <c r="I498" i="9" s="1"/>
  <c r="L497" i="9"/>
  <c r="K497" i="9"/>
  <c r="J497" i="9"/>
  <c r="I497" i="9"/>
  <c r="H497" i="9"/>
  <c r="G497" i="9"/>
  <c r="M497" i="9" s="1"/>
  <c r="K496" i="9"/>
  <c r="J496" i="9"/>
  <c r="I496" i="9"/>
  <c r="H496" i="9"/>
  <c r="G496" i="9"/>
  <c r="M496" i="9" s="1"/>
  <c r="H495" i="9"/>
  <c r="G495" i="9"/>
  <c r="H494" i="9"/>
  <c r="G494" i="9"/>
  <c r="I494" i="9" s="1"/>
  <c r="M493" i="9"/>
  <c r="H493" i="9"/>
  <c r="G493" i="9"/>
  <c r="H492" i="9"/>
  <c r="G492" i="9"/>
  <c r="M492" i="9" s="1"/>
  <c r="H491" i="9"/>
  <c r="G491" i="9"/>
  <c r="J491" i="9" s="1"/>
  <c r="H490" i="9"/>
  <c r="G490" i="9"/>
  <c r="H489" i="9"/>
  <c r="G489" i="9"/>
  <c r="J489" i="9" s="1"/>
  <c r="H488" i="9"/>
  <c r="G488" i="9"/>
  <c r="H487" i="9"/>
  <c r="G487" i="9"/>
  <c r="H486" i="9"/>
  <c r="G486" i="9"/>
  <c r="I486" i="9" s="1"/>
  <c r="H485" i="9"/>
  <c r="G485" i="9"/>
  <c r="M485" i="9" s="1"/>
  <c r="H484" i="9"/>
  <c r="G484" i="9"/>
  <c r="H483" i="9"/>
  <c r="G483" i="9"/>
  <c r="J483" i="9" s="1"/>
  <c r="H482" i="9"/>
  <c r="G482" i="9"/>
  <c r="I482" i="9" s="1"/>
  <c r="M481" i="9"/>
  <c r="L481" i="9"/>
  <c r="H481" i="9"/>
  <c r="G481" i="9"/>
  <c r="J481" i="9" s="1"/>
  <c r="M480" i="9"/>
  <c r="L480" i="9"/>
  <c r="K480" i="9"/>
  <c r="J480" i="9"/>
  <c r="I480" i="9"/>
  <c r="H480" i="9"/>
  <c r="G480" i="9"/>
  <c r="H479" i="9"/>
  <c r="G479" i="9"/>
  <c r="J479" i="9" s="1"/>
  <c r="H478" i="9"/>
  <c r="G478" i="9"/>
  <c r="M477" i="9"/>
  <c r="H477" i="9"/>
  <c r="G477" i="9"/>
  <c r="J477" i="9" s="1"/>
  <c r="H476" i="9"/>
  <c r="G476" i="9"/>
  <c r="I476" i="9" s="1"/>
  <c r="H475" i="9"/>
  <c r="G475" i="9"/>
  <c r="M475" i="9" s="1"/>
  <c r="H474" i="9"/>
  <c r="G474" i="9"/>
  <c r="I474" i="9" s="1"/>
  <c r="M473" i="9"/>
  <c r="L473" i="9"/>
  <c r="H473" i="9"/>
  <c r="G473" i="9"/>
  <c r="J473" i="9" s="1"/>
  <c r="K472" i="9"/>
  <c r="I472" i="9"/>
  <c r="H472" i="9"/>
  <c r="G472" i="9"/>
  <c r="H471" i="9"/>
  <c r="G471" i="9"/>
  <c r="I471" i="9" s="1"/>
  <c r="H470" i="9"/>
  <c r="G470" i="9"/>
  <c r="J470" i="9" s="1"/>
  <c r="H469" i="9"/>
  <c r="G469" i="9"/>
  <c r="H468" i="9"/>
  <c r="G468" i="9"/>
  <c r="H467" i="9"/>
  <c r="G467" i="9"/>
  <c r="K467" i="9" s="1"/>
  <c r="H466" i="9"/>
  <c r="G466" i="9"/>
  <c r="J466" i="9" s="1"/>
  <c r="M465" i="9"/>
  <c r="L465" i="9"/>
  <c r="H465" i="9"/>
  <c r="G465" i="9"/>
  <c r="K465" i="9" s="1"/>
  <c r="H464" i="9"/>
  <c r="G464" i="9"/>
  <c r="M464" i="9" s="1"/>
  <c r="H463" i="9"/>
  <c r="G463" i="9"/>
  <c r="K463" i="9" s="1"/>
  <c r="H462" i="9"/>
  <c r="G462" i="9"/>
  <c r="K462" i="9" s="1"/>
  <c r="H461" i="9"/>
  <c r="G461" i="9"/>
  <c r="I461" i="9" s="1"/>
  <c r="H460" i="9"/>
  <c r="G460" i="9"/>
  <c r="H459" i="9"/>
  <c r="G459" i="9"/>
  <c r="M459" i="9" s="1"/>
  <c r="H458" i="9"/>
  <c r="G458" i="9"/>
  <c r="H457" i="9"/>
  <c r="G457" i="9"/>
  <c r="L457" i="9" s="1"/>
  <c r="M456" i="9"/>
  <c r="H456" i="9"/>
  <c r="G456" i="9"/>
  <c r="K456" i="9" s="1"/>
  <c r="H455" i="9"/>
  <c r="G455" i="9"/>
  <c r="J454" i="9"/>
  <c r="H454" i="9"/>
  <c r="G454" i="9"/>
  <c r="I454" i="9" s="1"/>
  <c r="H453" i="9"/>
  <c r="G453" i="9"/>
  <c r="M453" i="9" s="1"/>
  <c r="M452" i="9"/>
  <c r="L452" i="9"/>
  <c r="H452" i="9"/>
  <c r="G452" i="9"/>
  <c r="I452" i="9" s="1"/>
  <c r="K451" i="9"/>
  <c r="H451" i="9"/>
  <c r="G451" i="9"/>
  <c r="H450" i="9"/>
  <c r="G450" i="9"/>
  <c r="H449" i="9"/>
  <c r="G449" i="9"/>
  <c r="M448" i="9"/>
  <c r="H448" i="9"/>
  <c r="G448" i="9"/>
  <c r="H447" i="9"/>
  <c r="G447" i="9"/>
  <c r="I447" i="9" s="1"/>
  <c r="H446" i="9"/>
  <c r="G446" i="9"/>
  <c r="H445" i="9"/>
  <c r="G445" i="9"/>
  <c r="J445" i="9" s="1"/>
  <c r="H444" i="9"/>
  <c r="G444" i="9"/>
  <c r="H443" i="9"/>
  <c r="G443" i="9"/>
  <c r="H442" i="9"/>
  <c r="G442" i="9"/>
  <c r="H441" i="9"/>
  <c r="G441" i="9"/>
  <c r="I441" i="9" s="1"/>
  <c r="M440" i="9"/>
  <c r="L440" i="9"/>
  <c r="H440" i="9"/>
  <c r="G440" i="9"/>
  <c r="J440" i="9" s="1"/>
  <c r="H439" i="9"/>
  <c r="G439" i="9"/>
  <c r="K438" i="9"/>
  <c r="J438" i="9"/>
  <c r="I438" i="9"/>
  <c r="H438" i="9"/>
  <c r="G438" i="9"/>
  <c r="H437" i="9"/>
  <c r="G437" i="9"/>
  <c r="H436" i="9"/>
  <c r="G436" i="9"/>
  <c r="H435" i="9"/>
  <c r="G435" i="9"/>
  <c r="L435" i="9" s="1"/>
  <c r="H434" i="9"/>
  <c r="G434" i="9"/>
  <c r="M433" i="9"/>
  <c r="I433" i="9"/>
  <c r="H433" i="9"/>
  <c r="G433" i="9"/>
  <c r="H432" i="9"/>
  <c r="G432" i="9"/>
  <c r="K432" i="9" s="1"/>
  <c r="H431" i="9"/>
  <c r="G431" i="9"/>
  <c r="K431" i="9" s="1"/>
  <c r="H430" i="9"/>
  <c r="G430" i="9"/>
  <c r="K430" i="9" s="1"/>
  <c r="H429" i="9"/>
  <c r="G429" i="9"/>
  <c r="I429" i="9" s="1"/>
  <c r="H428" i="9"/>
  <c r="G428" i="9"/>
  <c r="M428" i="9" s="1"/>
  <c r="H427" i="9"/>
  <c r="G427" i="9"/>
  <c r="H426" i="9"/>
  <c r="G426" i="9"/>
  <c r="H425" i="9"/>
  <c r="G425" i="9"/>
  <c r="I425" i="9" s="1"/>
  <c r="J424" i="9"/>
  <c r="H424" i="9"/>
  <c r="G424" i="9"/>
  <c r="L423" i="9"/>
  <c r="H423" i="9"/>
  <c r="G423" i="9"/>
  <c r="M423" i="9" s="1"/>
  <c r="H422" i="9"/>
  <c r="G422" i="9"/>
  <c r="J422" i="9" s="1"/>
  <c r="H421" i="9"/>
  <c r="G421" i="9"/>
  <c r="M421" i="9" s="1"/>
  <c r="H420" i="9"/>
  <c r="G420" i="9"/>
  <c r="M420" i="9" s="1"/>
  <c r="H419" i="9"/>
  <c r="G419" i="9"/>
  <c r="K419" i="9" s="1"/>
  <c r="H418" i="9"/>
  <c r="G418" i="9"/>
  <c r="H417" i="9"/>
  <c r="G417" i="9"/>
  <c r="K417" i="9" s="1"/>
  <c r="H416" i="9"/>
  <c r="G416" i="9"/>
  <c r="M416" i="9" s="1"/>
  <c r="H415" i="9"/>
  <c r="G415" i="9"/>
  <c r="K415" i="9" s="1"/>
  <c r="H414" i="9"/>
  <c r="G414" i="9"/>
  <c r="H413" i="9"/>
  <c r="G413" i="9"/>
  <c r="J413" i="9" s="1"/>
  <c r="H412" i="9"/>
  <c r="G412" i="9"/>
  <c r="L412" i="9" s="1"/>
  <c r="H411" i="9"/>
  <c r="G411" i="9"/>
  <c r="M411" i="9" s="1"/>
  <c r="M410" i="9"/>
  <c r="L410" i="9"/>
  <c r="H410" i="9"/>
  <c r="G410" i="9"/>
  <c r="H409" i="9"/>
  <c r="G409" i="9"/>
  <c r="I409" i="9" s="1"/>
  <c r="H408" i="9"/>
  <c r="G408" i="9"/>
  <c r="L408" i="9" s="1"/>
  <c r="H407" i="9"/>
  <c r="G407" i="9"/>
  <c r="H406" i="9"/>
  <c r="G406" i="9"/>
  <c r="K406" i="9" s="1"/>
  <c r="H405" i="9"/>
  <c r="G405" i="9"/>
  <c r="H404" i="9"/>
  <c r="G404" i="9"/>
  <c r="H403" i="9"/>
  <c r="G403" i="9"/>
  <c r="M403" i="9" s="1"/>
  <c r="K402" i="9"/>
  <c r="H402" i="9"/>
  <c r="G402" i="9"/>
  <c r="L402" i="9" s="1"/>
  <c r="H401" i="9"/>
  <c r="G401" i="9"/>
  <c r="K401" i="9" s="1"/>
  <c r="M400" i="9"/>
  <c r="L400" i="9"/>
  <c r="K400" i="9"/>
  <c r="H400" i="9"/>
  <c r="G400" i="9"/>
  <c r="H399" i="9"/>
  <c r="G399" i="9"/>
  <c r="K398" i="9"/>
  <c r="J398" i="9"/>
  <c r="H398" i="9"/>
  <c r="G398" i="9"/>
  <c r="I398" i="9" s="1"/>
  <c r="H397" i="9"/>
  <c r="G397" i="9"/>
  <c r="H396" i="9"/>
  <c r="G396" i="9"/>
  <c r="M396" i="9" s="1"/>
  <c r="K395" i="9"/>
  <c r="H395" i="9"/>
  <c r="G395" i="9"/>
  <c r="L395" i="9" s="1"/>
  <c r="H394" i="9"/>
  <c r="G394" i="9"/>
  <c r="J394" i="9" s="1"/>
  <c r="K393" i="9"/>
  <c r="I393" i="9"/>
  <c r="H393" i="9"/>
  <c r="G393" i="9"/>
  <c r="H392" i="9"/>
  <c r="G392" i="9"/>
  <c r="K392" i="9" s="1"/>
  <c r="H391" i="9"/>
  <c r="G391" i="9"/>
  <c r="I391" i="9" s="1"/>
  <c r="H390" i="9"/>
  <c r="G390" i="9"/>
  <c r="K390" i="9" s="1"/>
  <c r="H389" i="9"/>
  <c r="G389" i="9"/>
  <c r="H388" i="9"/>
  <c r="G388" i="9"/>
  <c r="L388" i="9" s="1"/>
  <c r="H387" i="9"/>
  <c r="G387" i="9"/>
  <c r="H386" i="9"/>
  <c r="G386" i="9"/>
  <c r="H385" i="9"/>
  <c r="G385" i="9"/>
  <c r="H384" i="9"/>
  <c r="G384" i="9"/>
  <c r="M384" i="9" s="1"/>
  <c r="H383" i="9"/>
  <c r="G383" i="9"/>
  <c r="H382" i="9"/>
  <c r="G382" i="9"/>
  <c r="M382" i="9" s="1"/>
  <c r="K381" i="9"/>
  <c r="I381" i="9"/>
  <c r="H381" i="9"/>
  <c r="G381" i="9"/>
  <c r="H380" i="9"/>
  <c r="G380" i="9"/>
  <c r="H379" i="9"/>
  <c r="G379" i="9"/>
  <c r="L379" i="9" s="1"/>
  <c r="H378" i="9"/>
  <c r="G378" i="9"/>
  <c r="J378" i="9" s="1"/>
  <c r="H377" i="9"/>
  <c r="G377" i="9"/>
  <c r="H376" i="9"/>
  <c r="G376" i="9"/>
  <c r="L376" i="9" s="1"/>
  <c r="M375" i="9"/>
  <c r="H375" i="9"/>
  <c r="G375" i="9"/>
  <c r="I375" i="9" s="1"/>
  <c r="H374" i="9"/>
  <c r="G374" i="9"/>
  <c r="M374" i="9" s="1"/>
  <c r="M373" i="9"/>
  <c r="L373" i="9"/>
  <c r="H373" i="9"/>
  <c r="G373" i="9"/>
  <c r="J373" i="9" s="1"/>
  <c r="H372" i="9"/>
  <c r="G372" i="9"/>
  <c r="H371" i="9"/>
  <c r="G371" i="9"/>
  <c r="L371" i="9" s="1"/>
  <c r="H370" i="9"/>
  <c r="G370" i="9"/>
  <c r="M370" i="9" s="1"/>
  <c r="L369" i="9"/>
  <c r="J369" i="9"/>
  <c r="I369" i="9"/>
  <c r="H369" i="9"/>
  <c r="G369" i="9"/>
  <c r="K369" i="9" s="1"/>
  <c r="H368" i="9"/>
  <c r="G368" i="9"/>
  <c r="H367" i="9"/>
  <c r="G367" i="9"/>
  <c r="M367" i="9" s="1"/>
  <c r="H366" i="9"/>
  <c r="G366" i="9"/>
  <c r="H365" i="9"/>
  <c r="G365" i="9"/>
  <c r="I365" i="9" s="1"/>
  <c r="M364" i="9"/>
  <c r="H364" i="9"/>
  <c r="G364" i="9"/>
  <c r="K364" i="9" s="1"/>
  <c r="H363" i="9"/>
  <c r="G363" i="9"/>
  <c r="J363" i="9" s="1"/>
  <c r="H362" i="9"/>
  <c r="G362" i="9"/>
  <c r="H361" i="9"/>
  <c r="G361" i="9"/>
  <c r="K361" i="9" s="1"/>
  <c r="M360" i="9"/>
  <c r="L360" i="9"/>
  <c r="K360" i="9"/>
  <c r="H360" i="9"/>
  <c r="G360" i="9"/>
  <c r="J360" i="9" s="1"/>
  <c r="K359" i="9"/>
  <c r="H359" i="9"/>
  <c r="G359" i="9"/>
  <c r="J359" i="9" s="1"/>
  <c r="H358" i="9"/>
  <c r="G358" i="9"/>
  <c r="K357" i="9"/>
  <c r="I357" i="9"/>
  <c r="H357" i="9"/>
  <c r="G357" i="9"/>
  <c r="H356" i="9"/>
  <c r="G356" i="9"/>
  <c r="L356" i="9" s="1"/>
  <c r="H355" i="9"/>
  <c r="G355" i="9"/>
  <c r="H354" i="9"/>
  <c r="G354" i="9"/>
  <c r="L354" i="9" s="1"/>
  <c r="H353" i="9"/>
  <c r="G353" i="9"/>
  <c r="H352" i="9"/>
  <c r="G352" i="9"/>
  <c r="M352" i="9" s="1"/>
  <c r="L351" i="9"/>
  <c r="J351" i="9"/>
  <c r="H351" i="9"/>
  <c r="G351" i="9"/>
  <c r="H350" i="9"/>
  <c r="G350" i="9"/>
  <c r="H349" i="9"/>
  <c r="G349" i="9"/>
  <c r="I349" i="9" s="1"/>
  <c r="J348" i="9"/>
  <c r="I348" i="9"/>
  <c r="H348" i="9"/>
  <c r="G348" i="9"/>
  <c r="H347" i="9"/>
  <c r="G347" i="9"/>
  <c r="M346" i="9"/>
  <c r="K346" i="9"/>
  <c r="J346" i="9"/>
  <c r="H346" i="9"/>
  <c r="G346" i="9"/>
  <c r="L346" i="9" s="1"/>
  <c r="H345" i="9"/>
  <c r="G345" i="9"/>
  <c r="H344" i="9"/>
  <c r="G344" i="9"/>
  <c r="I344" i="9" s="1"/>
  <c r="H343" i="9"/>
  <c r="G343" i="9"/>
  <c r="H342" i="9"/>
  <c r="G342" i="9"/>
  <c r="H341" i="9"/>
  <c r="G341" i="9"/>
  <c r="I341" i="9" s="1"/>
  <c r="M340" i="9"/>
  <c r="L340" i="9"/>
  <c r="H340" i="9"/>
  <c r="G340" i="9"/>
  <c r="K340" i="9" s="1"/>
  <c r="H339" i="9"/>
  <c r="G339" i="9"/>
  <c r="M339" i="9" s="1"/>
  <c r="H338" i="9"/>
  <c r="G338" i="9"/>
  <c r="L337" i="9"/>
  <c r="H337" i="9"/>
  <c r="G337" i="9"/>
  <c r="M337" i="9" s="1"/>
  <c r="H336" i="9"/>
  <c r="G336" i="9"/>
  <c r="I336" i="9" s="1"/>
  <c r="H335" i="9"/>
  <c r="G335" i="9"/>
  <c r="L335" i="9" s="1"/>
  <c r="H334" i="9"/>
  <c r="G334" i="9"/>
  <c r="L333" i="9"/>
  <c r="K333" i="9"/>
  <c r="J333" i="9"/>
  <c r="I333" i="9"/>
  <c r="H333" i="9"/>
  <c r="G333" i="9"/>
  <c r="M333" i="9" s="1"/>
  <c r="H332" i="9"/>
  <c r="G332" i="9"/>
  <c r="M332" i="9" s="1"/>
  <c r="L331" i="9"/>
  <c r="K331" i="9"/>
  <c r="J331" i="9"/>
  <c r="H331" i="9"/>
  <c r="G331" i="9"/>
  <c r="M331" i="9" s="1"/>
  <c r="H330" i="9"/>
  <c r="G330" i="9"/>
  <c r="L330" i="9" s="1"/>
  <c r="H329" i="9"/>
  <c r="G329" i="9"/>
  <c r="J329" i="9" s="1"/>
  <c r="H328" i="9"/>
  <c r="G328" i="9"/>
  <c r="H327" i="9"/>
  <c r="G327" i="9"/>
  <c r="M327" i="9" s="1"/>
  <c r="H326" i="9"/>
  <c r="G326" i="9"/>
  <c r="M325" i="9"/>
  <c r="I325" i="9"/>
  <c r="H325" i="9"/>
  <c r="G325" i="9"/>
  <c r="H324" i="9"/>
  <c r="G324" i="9"/>
  <c r="K324" i="9" s="1"/>
  <c r="H323" i="9"/>
  <c r="G323" i="9"/>
  <c r="H322" i="9"/>
  <c r="G322" i="9"/>
  <c r="M322" i="9" s="1"/>
  <c r="M321" i="9"/>
  <c r="L321" i="9"/>
  <c r="J321" i="9"/>
  <c r="I321" i="9"/>
  <c r="H321" i="9"/>
  <c r="G321" i="9"/>
  <c r="K321" i="9" s="1"/>
  <c r="H320" i="9"/>
  <c r="G320" i="9"/>
  <c r="I320" i="9" s="1"/>
  <c r="H319" i="9"/>
  <c r="G319" i="9"/>
  <c r="L319" i="9" s="1"/>
  <c r="M318" i="9"/>
  <c r="L318" i="9"/>
  <c r="H318" i="9"/>
  <c r="G318" i="9"/>
  <c r="M317" i="9"/>
  <c r="L317" i="9"/>
  <c r="K317" i="9"/>
  <c r="J317" i="9"/>
  <c r="I317" i="9"/>
  <c r="H317" i="9"/>
  <c r="G317" i="9"/>
  <c r="H316" i="9"/>
  <c r="G316" i="9"/>
  <c r="L315" i="9"/>
  <c r="K315" i="9"/>
  <c r="J315" i="9"/>
  <c r="I315" i="9"/>
  <c r="H315" i="9"/>
  <c r="G315" i="9"/>
  <c r="M315" i="9" s="1"/>
  <c r="H314" i="9"/>
  <c r="G314" i="9"/>
  <c r="H313" i="9"/>
  <c r="G313" i="9"/>
  <c r="M313" i="9" s="1"/>
  <c r="H312" i="9"/>
  <c r="G312" i="9"/>
  <c r="H311" i="9"/>
  <c r="G311" i="9"/>
  <c r="I311" i="9" s="1"/>
  <c r="M310" i="9"/>
  <c r="L310" i="9"/>
  <c r="K310" i="9"/>
  <c r="H310" i="9"/>
  <c r="G310" i="9"/>
  <c r="K309" i="9"/>
  <c r="J309" i="9"/>
  <c r="I309" i="9"/>
  <c r="H309" i="9"/>
  <c r="G309" i="9"/>
  <c r="M309" i="9" s="1"/>
  <c r="H308" i="9"/>
  <c r="G308" i="9"/>
  <c r="I308" i="9" s="1"/>
  <c r="H307" i="9"/>
  <c r="G307" i="9"/>
  <c r="L307" i="9" s="1"/>
  <c r="H306" i="9"/>
  <c r="G306" i="9"/>
  <c r="L306" i="9" s="1"/>
  <c r="H305" i="9"/>
  <c r="G305" i="9"/>
  <c r="M305" i="9" s="1"/>
  <c r="H304" i="9"/>
  <c r="G304" i="9"/>
  <c r="M304" i="9" s="1"/>
  <c r="H303" i="9"/>
  <c r="G303" i="9"/>
  <c r="M302" i="9"/>
  <c r="H302" i="9"/>
  <c r="G302" i="9"/>
  <c r="L302" i="9" s="1"/>
  <c r="H301" i="9"/>
  <c r="G301" i="9"/>
  <c r="L301" i="9" s="1"/>
  <c r="L300" i="9"/>
  <c r="K300" i="9"/>
  <c r="I300" i="9"/>
  <c r="H300" i="9"/>
  <c r="G300" i="9"/>
  <c r="J300" i="9" s="1"/>
  <c r="H299" i="9"/>
  <c r="G299" i="9"/>
  <c r="H298" i="9"/>
  <c r="G298" i="9"/>
  <c r="M298" i="9" s="1"/>
  <c r="H297" i="9"/>
  <c r="G297" i="9"/>
  <c r="L297" i="9" s="1"/>
  <c r="M296" i="9"/>
  <c r="L296" i="9"/>
  <c r="K296" i="9"/>
  <c r="J296" i="9"/>
  <c r="H296" i="9"/>
  <c r="G296" i="9"/>
  <c r="I296" i="9" s="1"/>
  <c r="H295" i="9"/>
  <c r="G295" i="9"/>
  <c r="I295" i="9" s="1"/>
  <c r="H294" i="9"/>
  <c r="G294" i="9"/>
  <c r="H293" i="9"/>
  <c r="G293" i="9"/>
  <c r="H292" i="9"/>
  <c r="G292" i="9"/>
  <c r="J292" i="9" s="1"/>
  <c r="K291" i="9"/>
  <c r="H291" i="9"/>
  <c r="G291" i="9"/>
  <c r="H290" i="9"/>
  <c r="G290" i="9"/>
  <c r="K290" i="9" s="1"/>
  <c r="M289" i="9"/>
  <c r="L289" i="9"/>
  <c r="K289" i="9"/>
  <c r="J289" i="9"/>
  <c r="H289" i="9"/>
  <c r="G289" i="9"/>
  <c r="I289" i="9" s="1"/>
  <c r="H288" i="9"/>
  <c r="G288" i="9"/>
  <c r="H287" i="9"/>
  <c r="G287" i="9"/>
  <c r="M287" i="9" s="1"/>
  <c r="H286" i="9"/>
  <c r="G286" i="9"/>
  <c r="H285" i="9"/>
  <c r="G285" i="9"/>
  <c r="K285" i="9" s="1"/>
  <c r="H284" i="9"/>
  <c r="G284" i="9"/>
  <c r="M283" i="9"/>
  <c r="H283" i="9"/>
  <c r="G283" i="9"/>
  <c r="I283" i="9" s="1"/>
  <c r="H282" i="9"/>
  <c r="G282" i="9"/>
  <c r="J282" i="9" s="1"/>
  <c r="M281" i="9"/>
  <c r="L281" i="9"/>
  <c r="K281" i="9"/>
  <c r="I281" i="9"/>
  <c r="H281" i="9"/>
  <c r="G281" i="9"/>
  <c r="J281" i="9" s="1"/>
  <c r="H280" i="9"/>
  <c r="G280" i="9"/>
  <c r="I280" i="9" s="1"/>
  <c r="H279" i="9"/>
  <c r="G279" i="9"/>
  <c r="I279" i="9" s="1"/>
  <c r="H278" i="9"/>
  <c r="G278" i="9"/>
  <c r="H277" i="9"/>
  <c r="G277" i="9"/>
  <c r="L277" i="9" s="1"/>
  <c r="H276" i="9"/>
  <c r="G276" i="9"/>
  <c r="M276" i="9" s="1"/>
  <c r="H275" i="9"/>
  <c r="G275" i="9"/>
  <c r="J275" i="9" s="1"/>
  <c r="H274" i="9"/>
  <c r="G274" i="9"/>
  <c r="H273" i="9"/>
  <c r="G273" i="9"/>
  <c r="M273" i="9" s="1"/>
  <c r="H272" i="9"/>
  <c r="G272" i="9"/>
  <c r="M272" i="9" s="1"/>
  <c r="H271" i="9"/>
  <c r="G271" i="9"/>
  <c r="M271" i="9" s="1"/>
  <c r="H270" i="9"/>
  <c r="G270" i="9"/>
  <c r="L270" i="9" s="1"/>
  <c r="H269" i="9"/>
  <c r="G269" i="9"/>
  <c r="H268" i="9"/>
  <c r="G268" i="9"/>
  <c r="M267" i="9"/>
  <c r="L267" i="9"/>
  <c r="K267" i="9"/>
  <c r="J267" i="9"/>
  <c r="H267" i="9"/>
  <c r="G267" i="9"/>
  <c r="I267" i="9" s="1"/>
  <c r="H266" i="9"/>
  <c r="G266" i="9"/>
  <c r="L266" i="9" s="1"/>
  <c r="H265" i="9"/>
  <c r="G265" i="9"/>
  <c r="M265" i="9" s="1"/>
  <c r="H264" i="9"/>
  <c r="G264" i="9"/>
  <c r="H263" i="9"/>
  <c r="G263" i="9"/>
  <c r="H262" i="9"/>
  <c r="G262" i="9"/>
  <c r="L262" i="9" s="1"/>
  <c r="L261" i="9"/>
  <c r="J261" i="9"/>
  <c r="H261" i="9"/>
  <c r="G261" i="9"/>
  <c r="I261" i="9" s="1"/>
  <c r="H260" i="9"/>
  <c r="G260" i="9"/>
  <c r="H259" i="9"/>
  <c r="G259" i="9"/>
  <c r="H258" i="9"/>
  <c r="G258" i="9"/>
  <c r="J258" i="9" s="1"/>
  <c r="H257" i="9"/>
  <c r="G257" i="9"/>
  <c r="K257" i="9" s="1"/>
  <c r="H256" i="9"/>
  <c r="G256" i="9"/>
  <c r="J256" i="9" s="1"/>
  <c r="H255" i="9"/>
  <c r="G255" i="9"/>
  <c r="M255" i="9" s="1"/>
  <c r="H254" i="9"/>
  <c r="G254" i="9"/>
  <c r="M253" i="9"/>
  <c r="H253" i="9"/>
  <c r="G253" i="9"/>
  <c r="K253" i="9" s="1"/>
  <c r="H252" i="9"/>
  <c r="G252" i="9"/>
  <c r="J252" i="9" s="1"/>
  <c r="L251" i="9"/>
  <c r="K251" i="9"/>
  <c r="J251" i="9"/>
  <c r="H251" i="9"/>
  <c r="G251" i="9"/>
  <c r="I251" i="9" s="1"/>
  <c r="H250" i="9"/>
  <c r="G250" i="9"/>
  <c r="I250" i="9" s="1"/>
  <c r="H249" i="9"/>
  <c r="G249" i="9"/>
  <c r="K249" i="9" s="1"/>
  <c r="M248" i="9"/>
  <c r="H248" i="9"/>
  <c r="G248" i="9"/>
  <c r="H247" i="9"/>
  <c r="G247" i="9"/>
  <c r="M247" i="9" s="1"/>
  <c r="M246" i="9"/>
  <c r="K246" i="9"/>
  <c r="J246" i="9"/>
  <c r="I246" i="9"/>
  <c r="H246" i="9"/>
  <c r="G246" i="9"/>
  <c r="L246" i="9" s="1"/>
  <c r="H245" i="9"/>
  <c r="G245" i="9"/>
  <c r="M245" i="9" s="1"/>
  <c r="H244" i="9"/>
  <c r="G244" i="9"/>
  <c r="I244" i="9" s="1"/>
  <c r="H243" i="9"/>
  <c r="G243" i="9"/>
  <c r="H242" i="9"/>
  <c r="G242" i="9"/>
  <c r="M242" i="9" s="1"/>
  <c r="M241" i="9"/>
  <c r="L241" i="9"/>
  <c r="H241" i="9"/>
  <c r="G241" i="9"/>
  <c r="J241" i="9" s="1"/>
  <c r="H240" i="9"/>
  <c r="G240" i="9"/>
  <c r="I240" i="9" s="1"/>
  <c r="H239" i="9"/>
  <c r="G239" i="9"/>
  <c r="L239" i="9" s="1"/>
  <c r="J238" i="9"/>
  <c r="H238" i="9"/>
  <c r="G238" i="9"/>
  <c r="M238" i="9" s="1"/>
  <c r="H237" i="9"/>
  <c r="G237" i="9"/>
  <c r="M237" i="9" s="1"/>
  <c r="H236" i="9"/>
  <c r="G236" i="9"/>
  <c r="J236" i="9" s="1"/>
  <c r="H235" i="9"/>
  <c r="G235" i="9"/>
  <c r="I235" i="9" s="1"/>
  <c r="M234" i="9"/>
  <c r="H234" i="9"/>
  <c r="G234" i="9"/>
  <c r="H233" i="9"/>
  <c r="G233" i="9"/>
  <c r="M233" i="9" s="1"/>
  <c r="M232" i="9"/>
  <c r="L232" i="9"/>
  <c r="K232" i="9"/>
  <c r="J232" i="9"/>
  <c r="H232" i="9"/>
  <c r="G232" i="9"/>
  <c r="I232" i="9" s="1"/>
  <c r="H231" i="9"/>
  <c r="G231" i="9"/>
  <c r="I231" i="9" s="1"/>
  <c r="H230" i="9"/>
  <c r="G230" i="9"/>
  <c r="M230" i="9" s="1"/>
  <c r="I229" i="9"/>
  <c r="H229" i="9"/>
  <c r="G229" i="9"/>
  <c r="M229" i="9" s="1"/>
  <c r="J228" i="9"/>
  <c r="H228" i="9"/>
  <c r="G228" i="9"/>
  <c r="I228" i="9" s="1"/>
  <c r="H227" i="9"/>
  <c r="G227" i="9"/>
  <c r="H226" i="9"/>
  <c r="G226" i="9"/>
  <c r="M226" i="9" s="1"/>
  <c r="H225" i="9"/>
  <c r="G225" i="9"/>
  <c r="L225" i="9" s="1"/>
  <c r="H224" i="9"/>
  <c r="G224" i="9"/>
  <c r="I224" i="9" s="1"/>
  <c r="H223" i="9"/>
  <c r="G223" i="9"/>
  <c r="L223" i="9" s="1"/>
  <c r="M222" i="9"/>
  <c r="H222" i="9"/>
  <c r="G222" i="9"/>
  <c r="K222" i="9" s="1"/>
  <c r="H221" i="9"/>
  <c r="G221" i="9"/>
  <c r="M221" i="9" s="1"/>
  <c r="I220" i="9"/>
  <c r="H220" i="9"/>
  <c r="G220" i="9"/>
  <c r="J220" i="9" s="1"/>
  <c r="H219" i="9"/>
  <c r="G219" i="9"/>
  <c r="H218" i="9"/>
  <c r="G218" i="9"/>
  <c r="H217" i="9"/>
  <c r="G217" i="9"/>
  <c r="M217" i="9" s="1"/>
  <c r="H216" i="9"/>
  <c r="G216" i="9"/>
  <c r="I216" i="9" s="1"/>
  <c r="L215" i="9"/>
  <c r="K215" i="9"/>
  <c r="J215" i="9"/>
  <c r="I215" i="9"/>
  <c r="H215" i="9"/>
  <c r="G215" i="9"/>
  <c r="M215" i="9" s="1"/>
  <c r="K214" i="9"/>
  <c r="J214" i="9"/>
  <c r="I214" i="9"/>
  <c r="H214" i="9"/>
  <c r="G214" i="9"/>
  <c r="L214" i="9" s="1"/>
  <c r="H213" i="9"/>
  <c r="G213" i="9"/>
  <c r="M213" i="9" s="1"/>
  <c r="H212" i="9"/>
  <c r="G212" i="9"/>
  <c r="I212" i="9" s="1"/>
  <c r="H211" i="9"/>
  <c r="G211" i="9"/>
  <c r="H210" i="9"/>
  <c r="G210" i="9"/>
  <c r="H209" i="9"/>
  <c r="G209" i="9"/>
  <c r="M209" i="9" s="1"/>
  <c r="K208" i="9"/>
  <c r="H208" i="9"/>
  <c r="G208" i="9"/>
  <c r="I208" i="9" s="1"/>
  <c r="H207" i="9"/>
  <c r="G207" i="9"/>
  <c r="L207" i="9" s="1"/>
  <c r="H206" i="9"/>
  <c r="G206" i="9"/>
  <c r="K206" i="9" s="1"/>
  <c r="K205" i="9"/>
  <c r="J205" i="9"/>
  <c r="H205" i="9"/>
  <c r="G205" i="9"/>
  <c r="M205" i="9" s="1"/>
  <c r="H204" i="9"/>
  <c r="G204" i="9"/>
  <c r="H203" i="9"/>
  <c r="G203" i="9"/>
  <c r="I203" i="9" s="1"/>
  <c r="H202" i="9"/>
  <c r="G202" i="9"/>
  <c r="H201" i="9"/>
  <c r="G201" i="9"/>
  <c r="M201" i="9" s="1"/>
  <c r="M200" i="9"/>
  <c r="L200" i="9"/>
  <c r="K200" i="9"/>
  <c r="J200" i="9"/>
  <c r="H200" i="9"/>
  <c r="G200" i="9"/>
  <c r="I200" i="9" s="1"/>
  <c r="H199" i="9"/>
  <c r="G199" i="9"/>
  <c r="I199" i="9" s="1"/>
  <c r="H198" i="9"/>
  <c r="G198" i="9"/>
  <c r="M198" i="9" s="1"/>
  <c r="I197" i="9"/>
  <c r="H197" i="9"/>
  <c r="G197" i="9"/>
  <c r="M197" i="9" s="1"/>
  <c r="H196" i="9"/>
  <c r="G196" i="9"/>
  <c r="H195" i="9"/>
  <c r="G195" i="9"/>
  <c r="I195" i="9" s="1"/>
  <c r="H194" i="9"/>
  <c r="G194" i="9"/>
  <c r="M193" i="9"/>
  <c r="L193" i="9"/>
  <c r="H193" i="9"/>
  <c r="G193" i="9"/>
  <c r="H192" i="9"/>
  <c r="G192" i="9"/>
  <c r="I192" i="9" s="1"/>
  <c r="I191" i="9"/>
  <c r="H191" i="9"/>
  <c r="G191" i="9"/>
  <c r="L191" i="9" s="1"/>
  <c r="M190" i="9"/>
  <c r="H190" i="9"/>
  <c r="G190" i="9"/>
  <c r="K190" i="9" s="1"/>
  <c r="H189" i="9"/>
  <c r="G189" i="9"/>
  <c r="M189" i="9" s="1"/>
  <c r="H188" i="9"/>
  <c r="G188" i="9"/>
  <c r="H187" i="9"/>
  <c r="G187" i="9"/>
  <c r="I187" i="9" s="1"/>
  <c r="H186" i="9"/>
  <c r="G186" i="9"/>
  <c r="H185" i="9"/>
  <c r="G185" i="9"/>
  <c r="H184" i="9"/>
  <c r="G184" i="9"/>
  <c r="I184" i="9" s="1"/>
  <c r="M183" i="9"/>
  <c r="K183" i="9"/>
  <c r="J183" i="9"/>
  <c r="I183" i="9"/>
  <c r="H183" i="9"/>
  <c r="G183" i="9"/>
  <c r="L183" i="9" s="1"/>
  <c r="H182" i="9"/>
  <c r="G182" i="9"/>
  <c r="M182" i="9" s="1"/>
  <c r="H181" i="9"/>
  <c r="G181" i="9"/>
  <c r="M181" i="9" s="1"/>
  <c r="H180" i="9"/>
  <c r="G180" i="9"/>
  <c r="H179" i="9"/>
  <c r="G179" i="9"/>
  <c r="I179" i="9" s="1"/>
  <c r="H178" i="9"/>
  <c r="G178" i="9"/>
  <c r="M178" i="9" s="1"/>
  <c r="H177" i="9"/>
  <c r="G177" i="9"/>
  <c r="H176" i="9"/>
  <c r="G176" i="9"/>
  <c r="I176" i="9" s="1"/>
  <c r="M175" i="9"/>
  <c r="H175" i="9"/>
  <c r="G175" i="9"/>
  <c r="I175" i="9" s="1"/>
  <c r="L174" i="9"/>
  <c r="K174" i="9"/>
  <c r="J174" i="9"/>
  <c r="I174" i="9"/>
  <c r="H174" i="9"/>
  <c r="G174" i="9"/>
  <c r="M174" i="9" s="1"/>
  <c r="H173" i="9"/>
  <c r="G173" i="9"/>
  <c r="M173" i="9" s="1"/>
  <c r="H172" i="9"/>
  <c r="G172" i="9"/>
  <c r="J172" i="9" s="1"/>
  <c r="H171" i="9"/>
  <c r="G171" i="9"/>
  <c r="H170" i="9"/>
  <c r="G170" i="9"/>
  <c r="M170" i="9" s="1"/>
  <c r="H169" i="9"/>
  <c r="G169" i="9"/>
  <c r="H168" i="9"/>
  <c r="G168" i="9"/>
  <c r="I168" i="9" s="1"/>
  <c r="M167" i="9"/>
  <c r="L167" i="9"/>
  <c r="H167" i="9"/>
  <c r="G167" i="9"/>
  <c r="J167" i="9" s="1"/>
  <c r="M152" i="9"/>
  <c r="L152" i="9"/>
  <c r="N152" i="9" s="1"/>
  <c r="L151" i="9"/>
  <c r="L150" i="9"/>
  <c r="M148" i="9"/>
  <c r="L148" i="9"/>
  <c r="M147" i="9"/>
  <c r="L147" i="9"/>
  <c r="N147" i="9" s="1"/>
  <c r="M145" i="9"/>
  <c r="L145" i="9"/>
  <c r="M144" i="9"/>
  <c r="L144" i="9"/>
  <c r="M143" i="9"/>
  <c r="L143" i="9"/>
  <c r="M142" i="9"/>
  <c r="L142" i="9"/>
  <c r="S141" i="9"/>
  <c r="M141" i="9"/>
  <c r="L141" i="9"/>
  <c r="AE140" i="9"/>
  <c r="M140" i="9"/>
  <c r="L140" i="9"/>
  <c r="AE139" i="9"/>
  <c r="M139" i="9"/>
  <c r="L139" i="9"/>
  <c r="AE138" i="9"/>
  <c r="AE137" i="9"/>
  <c r="M137" i="9"/>
  <c r="L137" i="9"/>
  <c r="N137" i="9" s="1"/>
  <c r="M136" i="9"/>
  <c r="L136" i="9"/>
  <c r="S135" i="9"/>
  <c r="M135" i="9"/>
  <c r="L135" i="9"/>
  <c r="M134" i="9"/>
  <c r="L134" i="9"/>
  <c r="M133" i="9"/>
  <c r="L133" i="9"/>
  <c r="M132" i="9"/>
  <c r="L132" i="9"/>
  <c r="N132" i="9" s="1"/>
  <c r="M131" i="9"/>
  <c r="L131" i="9"/>
  <c r="N131" i="9" s="1"/>
  <c r="L129" i="9"/>
  <c r="L128" i="9"/>
  <c r="L127" i="9"/>
  <c r="S126" i="9"/>
  <c r="L126" i="9"/>
  <c r="N126" i="9" s="1"/>
  <c r="L125" i="9"/>
  <c r="L124" i="9"/>
  <c r="L123" i="9"/>
  <c r="S121" i="9"/>
  <c r="M121" i="9"/>
  <c r="M120" i="9"/>
  <c r="M119" i="9"/>
  <c r="L119" i="9"/>
  <c r="N119" i="9" s="1"/>
  <c r="N120" i="9" s="1"/>
  <c r="M118" i="9"/>
  <c r="M117" i="9"/>
  <c r="M116" i="9"/>
  <c r="M115" i="9"/>
  <c r="L115" i="9"/>
  <c r="N115" i="9" s="1"/>
  <c r="M113" i="9"/>
  <c r="L113" i="9"/>
  <c r="M112" i="9"/>
  <c r="L112" i="9"/>
  <c r="U111" i="9"/>
  <c r="M111" i="9"/>
  <c r="L111" i="9"/>
  <c r="T110" i="9"/>
  <c r="S110" i="9"/>
  <c r="M110" i="9"/>
  <c r="L110" i="9"/>
  <c r="V109" i="9"/>
  <c r="M109" i="9"/>
  <c r="L109" i="9"/>
  <c r="N109" i="9" s="1"/>
  <c r="U108" i="9"/>
  <c r="S108" i="9"/>
  <c r="M108" i="9"/>
  <c r="L108" i="9"/>
  <c r="T107" i="9"/>
  <c r="M107" i="9"/>
  <c r="L107" i="9"/>
  <c r="V106" i="9"/>
  <c r="T106" i="9"/>
  <c r="S106" i="9"/>
  <c r="V105" i="9"/>
  <c r="U105" i="9"/>
  <c r="T105" i="9"/>
  <c r="S105" i="9"/>
  <c r="M105" i="9"/>
  <c r="L105" i="9"/>
  <c r="M104" i="9"/>
  <c r="L104" i="9"/>
  <c r="N103" i="9"/>
  <c r="N104" i="9" s="1"/>
  <c r="M103" i="9"/>
  <c r="L103" i="9"/>
  <c r="M102" i="9"/>
  <c r="L102" i="9"/>
  <c r="N102" i="9" s="1"/>
  <c r="Y101" i="9"/>
  <c r="X101" i="9"/>
  <c r="W101" i="9"/>
  <c r="V101" i="9"/>
  <c r="U101" i="9"/>
  <c r="T101" i="9"/>
  <c r="S101" i="9"/>
  <c r="M101" i="9"/>
  <c r="L101" i="9"/>
  <c r="N101" i="9" s="1"/>
  <c r="Y100" i="9"/>
  <c r="X100" i="9"/>
  <c r="W100" i="9"/>
  <c r="V100" i="9"/>
  <c r="U100" i="9"/>
  <c r="T100" i="9"/>
  <c r="S100" i="9"/>
  <c r="M100" i="9"/>
  <c r="L100" i="9"/>
  <c r="Y99" i="9"/>
  <c r="X99" i="9"/>
  <c r="W99" i="9"/>
  <c r="V99" i="9"/>
  <c r="U99" i="9"/>
  <c r="T99" i="9"/>
  <c r="S99" i="9"/>
  <c r="M99" i="9"/>
  <c r="L99" i="9"/>
  <c r="N99" i="9" s="1"/>
  <c r="Y98" i="9"/>
  <c r="X98" i="9"/>
  <c r="W98" i="9"/>
  <c r="V98" i="9"/>
  <c r="U98" i="9"/>
  <c r="T98" i="9"/>
  <c r="S98" i="9"/>
  <c r="N97" i="9"/>
  <c r="M97" i="9"/>
  <c r="L97" i="9"/>
  <c r="M96" i="9"/>
  <c r="L96" i="9"/>
  <c r="M95" i="9"/>
  <c r="L95" i="9"/>
  <c r="N95" i="9" s="1"/>
  <c r="N96" i="9" s="1"/>
  <c r="M94" i="9"/>
  <c r="L94" i="9"/>
  <c r="M93" i="9"/>
  <c r="L93" i="9"/>
  <c r="M92" i="9"/>
  <c r="L92" i="9"/>
  <c r="M91" i="9"/>
  <c r="L91" i="9"/>
  <c r="AX67" i="9"/>
  <c r="AH67" i="9"/>
  <c r="AX65" i="9"/>
  <c r="AH65" i="9"/>
  <c r="AI65" i="9" s="1"/>
  <c r="AX64" i="9"/>
  <c r="AH64" i="9"/>
  <c r="AX63" i="9"/>
  <c r="AH63" i="9"/>
  <c r="AI63" i="9" s="1"/>
  <c r="AX62" i="9"/>
  <c r="AH62" i="9"/>
  <c r="AI62" i="9" s="1"/>
  <c r="AX61" i="9"/>
  <c r="AH61" i="9"/>
  <c r="AX60" i="9"/>
  <c r="AH60" i="9"/>
  <c r="AI60" i="9" s="1"/>
  <c r="AX59" i="9"/>
  <c r="AH59" i="9"/>
  <c r="AH58" i="9"/>
  <c r="AI58" i="9" s="1"/>
  <c r="AX50" i="9"/>
  <c r="M150" i="9" s="1"/>
  <c r="AU49" i="9"/>
  <c r="AU45" i="9" s="1"/>
  <c r="AZ34" i="9"/>
  <c r="AZ31" i="9" s="1"/>
  <c r="E34" i="9"/>
  <c r="AZ33" i="9"/>
  <c r="E33" i="9"/>
  <c r="AZ32" i="9"/>
  <c r="E32" i="9"/>
  <c r="E31" i="9"/>
  <c r="E30" i="9"/>
  <c r="E29" i="9"/>
  <c r="AZ28" i="9"/>
  <c r="E28" i="9"/>
  <c r="E27" i="9"/>
  <c r="AD24" i="9"/>
  <c r="M126" i="9" s="1"/>
  <c r="P14" i="9"/>
  <c r="AO11" i="9"/>
  <c r="AO10" i="9"/>
  <c r="AO9" i="9"/>
  <c r="AO8" i="9"/>
  <c r="AO7" i="9"/>
  <c r="AO6" i="9"/>
  <c r="D14" i="7"/>
  <c r="AZ61" i="6"/>
  <c r="AZ63" i="6"/>
  <c r="AZ62" i="6"/>
  <c r="S30" i="6"/>
  <c r="T30" i="6"/>
  <c r="W107" i="6"/>
  <c r="Z107" i="6"/>
  <c r="V37" i="6"/>
  <c r="AG37" i="6"/>
  <c r="AE37" i="6"/>
  <c r="AG141" i="9" l="1"/>
  <c r="AI141" i="9" s="1"/>
  <c r="AH44" i="9" s="1"/>
  <c r="AG135" i="9"/>
  <c r="AI135" i="9" s="1"/>
  <c r="M123" i="9"/>
  <c r="J176" i="9"/>
  <c r="K199" i="9"/>
  <c r="L209" i="9"/>
  <c r="J221" i="9"/>
  <c r="I304" i="9"/>
  <c r="I339" i="9"/>
  <c r="M125" i="9"/>
  <c r="N140" i="9"/>
  <c r="N143" i="9"/>
  <c r="N144" i="9" s="1"/>
  <c r="L175" i="9"/>
  <c r="M184" i="9"/>
  <c r="L198" i="9"/>
  <c r="M216" i="9"/>
  <c r="L230" i="9"/>
  <c r="M239" i="9"/>
  <c r="K255" i="9"/>
  <c r="L257" i="9"/>
  <c r="L271" i="9"/>
  <c r="M297" i="9"/>
  <c r="L364" i="9"/>
  <c r="K373" i="9"/>
  <c r="M408" i="9"/>
  <c r="M435" i="9"/>
  <c r="K440" i="9"/>
  <c r="M441" i="9"/>
  <c r="L456" i="9"/>
  <c r="M457" i="9"/>
  <c r="K473" i="9"/>
  <c r="M474" i="9"/>
  <c r="K481" i="9"/>
  <c r="K513" i="9"/>
  <c r="N134" i="9"/>
  <c r="J189" i="9"/>
  <c r="J199" i="9"/>
  <c r="M206" i="9"/>
  <c r="I223" i="9"/>
  <c r="J231" i="9"/>
  <c r="J240" i="9"/>
  <c r="I245" i="9"/>
  <c r="M249" i="9"/>
  <c r="I256" i="9"/>
  <c r="M258" i="9"/>
  <c r="M306" i="9"/>
  <c r="L324" i="9"/>
  <c r="I330" i="9"/>
  <c r="L384" i="9"/>
  <c r="I396" i="9"/>
  <c r="J409" i="9"/>
  <c r="I422" i="9"/>
  <c r="L464" i="9"/>
  <c r="K491" i="9"/>
  <c r="M324" i="9"/>
  <c r="K379" i="9"/>
  <c r="L396" i="9"/>
  <c r="K403" i="9"/>
  <c r="L417" i="9"/>
  <c r="I420" i="9"/>
  <c r="L432" i="9"/>
  <c r="I457" i="9"/>
  <c r="L491" i="9"/>
  <c r="J506" i="9"/>
  <c r="K176" i="9"/>
  <c r="J184" i="9"/>
  <c r="I198" i="9"/>
  <c r="L199" i="9"/>
  <c r="J212" i="9"/>
  <c r="M214" i="9"/>
  <c r="K221" i="9"/>
  <c r="I230" i="9"/>
  <c r="L231" i="9"/>
  <c r="I239" i="9"/>
  <c r="L240" i="9"/>
  <c r="K245" i="9"/>
  <c r="I271" i="9"/>
  <c r="J273" i="9"/>
  <c r="K280" i="9"/>
  <c r="L292" i="9"/>
  <c r="K295" i="9"/>
  <c r="J304" i="9"/>
  <c r="L309" i="9"/>
  <c r="K322" i="9"/>
  <c r="K330" i="9"/>
  <c r="J339" i="9"/>
  <c r="M341" i="9"/>
  <c r="M349" i="9"/>
  <c r="I364" i="9"/>
  <c r="K365" i="9"/>
  <c r="I374" i="9"/>
  <c r="M388" i="9"/>
  <c r="L401" i="9"/>
  <c r="L403" i="9"/>
  <c r="I406" i="9"/>
  <c r="J408" i="9"/>
  <c r="L409" i="9"/>
  <c r="I415" i="9"/>
  <c r="M417" i="9"/>
  <c r="L420" i="9"/>
  <c r="M432" i="9"/>
  <c r="J441" i="9"/>
  <c r="I456" i="9"/>
  <c r="J457" i="9"/>
  <c r="K459" i="9"/>
  <c r="J474" i="9"/>
  <c r="K482" i="9"/>
  <c r="M491" i="9"/>
  <c r="L496" i="9"/>
  <c r="K506" i="9"/>
  <c r="K514" i="9"/>
  <c r="K231" i="9"/>
  <c r="J365" i="9"/>
  <c r="I408" i="9"/>
  <c r="M127" i="9"/>
  <c r="N92" i="9"/>
  <c r="J175" i="9"/>
  <c r="L176" i="9"/>
  <c r="K184" i="9"/>
  <c r="J198" i="9"/>
  <c r="M199" i="9"/>
  <c r="I207" i="9"/>
  <c r="K216" i="9"/>
  <c r="K224" i="9"/>
  <c r="J230" i="9"/>
  <c r="M231" i="9"/>
  <c r="J239" i="9"/>
  <c r="M240" i="9"/>
  <c r="I252" i="9"/>
  <c r="I255" i="9"/>
  <c r="I257" i="9"/>
  <c r="I266" i="9"/>
  <c r="J271" i="9"/>
  <c r="J285" i="9"/>
  <c r="M292" i="9"/>
  <c r="K297" i="9"/>
  <c r="K304" i="9"/>
  <c r="L311" i="9"/>
  <c r="M330" i="9"/>
  <c r="K339" i="9"/>
  <c r="J364" i="9"/>
  <c r="L365" i="9"/>
  <c r="K370" i="9"/>
  <c r="I373" i="9"/>
  <c r="J374" i="9"/>
  <c r="M401" i="9"/>
  <c r="J406" i="9"/>
  <c r="K408" i="9"/>
  <c r="M409" i="9"/>
  <c r="J415" i="9"/>
  <c r="K435" i="9"/>
  <c r="I440" i="9"/>
  <c r="K441" i="9"/>
  <c r="J456" i="9"/>
  <c r="K457" i="9"/>
  <c r="L459" i="9"/>
  <c r="L467" i="9"/>
  <c r="I473" i="9"/>
  <c r="K474" i="9"/>
  <c r="I481" i="9"/>
  <c r="L482" i="9"/>
  <c r="L506" i="9"/>
  <c r="I513" i="9"/>
  <c r="L514" i="9"/>
  <c r="L31" i="9"/>
  <c r="L117" i="9"/>
  <c r="K189" i="9"/>
  <c r="K240" i="9"/>
  <c r="J245" i="9"/>
  <c r="K292" i="9"/>
  <c r="M301" i="9"/>
  <c r="J330" i="9"/>
  <c r="K344" i="9"/>
  <c r="K409" i="9"/>
  <c r="N107" i="9"/>
  <c r="L121" i="9"/>
  <c r="N121" i="9" s="1"/>
  <c r="N110" i="9"/>
  <c r="M128" i="9"/>
  <c r="K175" i="9"/>
  <c r="M176" i="9"/>
  <c r="L184" i="9"/>
  <c r="K198" i="9"/>
  <c r="L216" i="9"/>
  <c r="K230" i="9"/>
  <c r="K239" i="9"/>
  <c r="J255" i="9"/>
  <c r="J257" i="9"/>
  <c r="K271" i="9"/>
  <c r="L285" i="9"/>
  <c r="M311" i="9"/>
  <c r="M365" i="9"/>
  <c r="K374" i="9"/>
  <c r="L441" i="9"/>
  <c r="M467" i="9"/>
  <c r="L474" i="9"/>
  <c r="M482" i="9"/>
  <c r="M506" i="9"/>
  <c r="M514" i="9"/>
  <c r="L29" i="9"/>
  <c r="T29" i="9" s="1"/>
  <c r="AZ27" i="9"/>
  <c r="AU44" i="9"/>
  <c r="L32" i="9"/>
  <c r="AU48" i="9"/>
  <c r="AY66" i="9"/>
  <c r="AX66" i="9" s="1"/>
  <c r="N93" i="9"/>
  <c r="N108" i="9"/>
  <c r="N117" i="9"/>
  <c r="N127" i="9"/>
  <c r="N128" i="9" s="1"/>
  <c r="N145" i="9"/>
  <c r="K167" i="9"/>
  <c r="M168" i="9"/>
  <c r="K181" i="9"/>
  <c r="I189" i="9"/>
  <c r="L190" i="9"/>
  <c r="M191" i="9"/>
  <c r="I205" i="9"/>
  <c r="L206" i="9"/>
  <c r="M207" i="9"/>
  <c r="J216" i="9"/>
  <c r="I221" i="9"/>
  <c r="L222" i="9"/>
  <c r="M223" i="9"/>
  <c r="K237" i="9"/>
  <c r="L249" i="9"/>
  <c r="L258" i="9"/>
  <c r="K265" i="9"/>
  <c r="M266" i="9"/>
  <c r="J297" i="9"/>
  <c r="I297" i="9"/>
  <c r="M393" i="9"/>
  <c r="L393" i="9"/>
  <c r="J393" i="9"/>
  <c r="I410" i="9"/>
  <c r="K410" i="9"/>
  <c r="J410" i="9"/>
  <c r="L433" i="9"/>
  <c r="K433" i="9"/>
  <c r="J433" i="9"/>
  <c r="J462" i="9"/>
  <c r="I462" i="9"/>
  <c r="J475" i="9"/>
  <c r="L475" i="9"/>
  <c r="K475" i="9"/>
  <c r="M151" i="9"/>
  <c r="N151" i="9" s="1"/>
  <c r="L265" i="9"/>
  <c r="K277" i="9"/>
  <c r="M277" i="9"/>
  <c r="L286" i="9"/>
  <c r="M286" i="9"/>
  <c r="K286" i="9"/>
  <c r="J286" i="9"/>
  <c r="J334" i="9"/>
  <c r="I334" i="9"/>
  <c r="K345" i="9"/>
  <c r="M345" i="9"/>
  <c r="L345" i="9"/>
  <c r="I345" i="9"/>
  <c r="M355" i="9"/>
  <c r="L355" i="9"/>
  <c r="J355" i="9"/>
  <c r="I366" i="9"/>
  <c r="K366" i="9"/>
  <c r="J366" i="9"/>
  <c r="M449" i="9"/>
  <c r="L449" i="9"/>
  <c r="K449" i="9"/>
  <c r="I449" i="9"/>
  <c r="N113" i="9"/>
  <c r="I291" i="9"/>
  <c r="M291" i="9"/>
  <c r="L291" i="9"/>
  <c r="J291" i="9"/>
  <c r="M391" i="9"/>
  <c r="L391" i="9"/>
  <c r="J391" i="9"/>
  <c r="M425" i="9"/>
  <c r="L425" i="9"/>
  <c r="J425" i="9"/>
  <c r="L444" i="9"/>
  <c r="I444" i="9"/>
  <c r="I490" i="9"/>
  <c r="M490" i="9"/>
  <c r="K490" i="9"/>
  <c r="M504" i="9"/>
  <c r="L504" i="9"/>
  <c r="K504" i="9"/>
  <c r="I504" i="9"/>
  <c r="M516" i="9"/>
  <c r="L516" i="9"/>
  <c r="I182" i="9"/>
  <c r="J192" i="9"/>
  <c r="J208" i="9"/>
  <c r="J224" i="9"/>
  <c r="I238" i="9"/>
  <c r="I273" i="9"/>
  <c r="J277" i="9"/>
  <c r="J280" i="9"/>
  <c r="I286" i="9"/>
  <c r="I326" i="9"/>
  <c r="M326" i="9"/>
  <c r="L326" i="9"/>
  <c r="J326" i="9"/>
  <c r="J345" i="9"/>
  <c r="M350" i="9"/>
  <c r="L350" i="9"/>
  <c r="K350" i="9"/>
  <c r="I350" i="9"/>
  <c r="I355" i="9"/>
  <c r="I363" i="9"/>
  <c r="L366" i="9"/>
  <c r="I380" i="9"/>
  <c r="M380" i="9"/>
  <c r="L380" i="9"/>
  <c r="K380" i="9"/>
  <c r="L385" i="9"/>
  <c r="K385" i="9"/>
  <c r="J385" i="9"/>
  <c r="I413" i="9"/>
  <c r="J449" i="9"/>
  <c r="M455" i="9"/>
  <c r="L455" i="9"/>
  <c r="K455" i="9"/>
  <c r="I455" i="9"/>
  <c r="L460" i="9"/>
  <c r="I460" i="9"/>
  <c r="I470" i="9"/>
  <c r="L488" i="9"/>
  <c r="K488" i="9"/>
  <c r="J488" i="9"/>
  <c r="AI64" i="9"/>
  <c r="AY65" i="9" s="1"/>
  <c r="I173" i="9"/>
  <c r="J276" i="9"/>
  <c r="I276" i="9"/>
  <c r="J305" i="9"/>
  <c r="I305" i="9"/>
  <c r="L314" i="9"/>
  <c r="K314" i="9"/>
  <c r="K355" i="9"/>
  <c r="M366" i="9"/>
  <c r="M413" i="9"/>
  <c r="J416" i="9"/>
  <c r="I416" i="9"/>
  <c r="L434" i="9"/>
  <c r="J434" i="9"/>
  <c r="I442" i="9"/>
  <c r="K442" i="9"/>
  <c r="J442" i="9"/>
  <c r="K470" i="9"/>
  <c r="J490" i="9"/>
  <c r="J504" i="9"/>
  <c r="AI61" i="9"/>
  <c r="L30" i="9" s="1"/>
  <c r="T30" i="9" s="1"/>
  <c r="N100" i="9"/>
  <c r="N91" i="9"/>
  <c r="J182" i="9"/>
  <c r="K192" i="9"/>
  <c r="L34" i="9"/>
  <c r="K34" i="9" s="1"/>
  <c r="AI59" i="9"/>
  <c r="L28" i="9" s="1"/>
  <c r="N105" i="9"/>
  <c r="O27" i="9" s="1" a="1"/>
  <c r="P29" i="9" s="1"/>
  <c r="N111" i="9"/>
  <c r="N112" i="9" s="1"/>
  <c r="L116" i="9"/>
  <c r="N116" i="9" s="1"/>
  <c r="M129" i="9"/>
  <c r="N129" i="9" s="1"/>
  <c r="N141" i="9"/>
  <c r="N148" i="9"/>
  <c r="J168" i="9"/>
  <c r="J173" i="9"/>
  <c r="K182" i="9"/>
  <c r="I190" i="9"/>
  <c r="J191" i="9"/>
  <c r="L192" i="9"/>
  <c r="J197" i="9"/>
  <c r="L201" i="9"/>
  <c r="I206" i="9"/>
  <c r="J207" i="9"/>
  <c r="L208" i="9"/>
  <c r="I213" i="9"/>
  <c r="I222" i="9"/>
  <c r="J223" i="9"/>
  <c r="L224" i="9"/>
  <c r="J229" i="9"/>
  <c r="K238" i="9"/>
  <c r="J247" i="9"/>
  <c r="I249" i="9"/>
  <c r="K252" i="9"/>
  <c r="K256" i="9"/>
  <c r="M257" i="9"/>
  <c r="J262" i="9"/>
  <c r="J266" i="9"/>
  <c r="I270" i="9"/>
  <c r="K273" i="9"/>
  <c r="L280" i="9"/>
  <c r="I282" i="9"/>
  <c r="M282" i="9"/>
  <c r="L282" i="9"/>
  <c r="K282" i="9"/>
  <c r="K326" i="9"/>
  <c r="J336" i="9"/>
  <c r="M336" i="9"/>
  <c r="L336" i="9"/>
  <c r="K336" i="9"/>
  <c r="J350" i="9"/>
  <c r="J380" i="9"/>
  <c r="I385" i="9"/>
  <c r="K391" i="9"/>
  <c r="K425" i="9"/>
  <c r="L448" i="9"/>
  <c r="K448" i="9"/>
  <c r="J448" i="9"/>
  <c r="J455" i="9"/>
  <c r="M460" i="9"/>
  <c r="J464" i="9"/>
  <c r="I464" i="9"/>
  <c r="L476" i="9"/>
  <c r="I488" i="9"/>
  <c r="L490" i="9"/>
  <c r="M505" i="9"/>
  <c r="L505" i="9"/>
  <c r="J505" i="9"/>
  <c r="L508" i="9"/>
  <c r="L27" i="9"/>
  <c r="T27" i="9" s="1"/>
  <c r="N139" i="9"/>
  <c r="I167" i="9"/>
  <c r="K168" i="9"/>
  <c r="K173" i="9"/>
  <c r="I181" i="9"/>
  <c r="L182" i="9"/>
  <c r="J190" i="9"/>
  <c r="K191" i="9"/>
  <c r="M192" i="9"/>
  <c r="K197" i="9"/>
  <c r="J206" i="9"/>
  <c r="K207" i="9"/>
  <c r="M208" i="9"/>
  <c r="J213" i="9"/>
  <c r="J222" i="9"/>
  <c r="K223" i="9"/>
  <c r="M224" i="9"/>
  <c r="K229" i="9"/>
  <c r="I237" i="9"/>
  <c r="L238" i="9"/>
  <c r="K247" i="9"/>
  <c r="J249" i="9"/>
  <c r="L252" i="9"/>
  <c r="L256" i="9"/>
  <c r="K261" i="9"/>
  <c r="M261" i="9"/>
  <c r="K262" i="9"/>
  <c r="I265" i="9"/>
  <c r="K266" i="9"/>
  <c r="J270" i="9"/>
  <c r="J272" i="9"/>
  <c r="L272" i="9"/>
  <c r="L273" i="9"/>
  <c r="K276" i="9"/>
  <c r="M280" i="9"/>
  <c r="L287" i="9"/>
  <c r="M295" i="9"/>
  <c r="L295" i="9"/>
  <c r="J295" i="9"/>
  <c r="K301" i="9"/>
  <c r="J301" i="9"/>
  <c r="I301" i="9"/>
  <c r="K305" i="9"/>
  <c r="J314" i="9"/>
  <c r="L341" i="9"/>
  <c r="K341" i="9"/>
  <c r="J341" i="9"/>
  <c r="I351" i="9"/>
  <c r="M351" i="9"/>
  <c r="K351" i="9"/>
  <c r="I378" i="9"/>
  <c r="M381" i="9"/>
  <c r="L381" i="9"/>
  <c r="J381" i="9"/>
  <c r="M385" i="9"/>
  <c r="K416" i="9"/>
  <c r="K434" i="9"/>
  <c r="L442" i="9"/>
  <c r="I445" i="9"/>
  <c r="M488" i="9"/>
  <c r="N125" i="9"/>
  <c r="N123" i="9"/>
  <c r="L168" i="9"/>
  <c r="J181" i="9"/>
  <c r="K213" i="9"/>
  <c r="J237" i="9"/>
  <c r="L247" i="9"/>
  <c r="M252" i="9"/>
  <c r="M256" i="9"/>
  <c r="M262" i="9"/>
  <c r="J265" i="9"/>
  <c r="J268" i="9"/>
  <c r="M268" i="9"/>
  <c r="K270" i="9"/>
  <c r="L276" i="9"/>
  <c r="M290" i="9"/>
  <c r="J290" i="9"/>
  <c r="I290" i="9"/>
  <c r="L305" i="9"/>
  <c r="J310" i="9"/>
  <c r="I310" i="9"/>
  <c r="M314" i="9"/>
  <c r="K318" i="9"/>
  <c r="J318" i="9"/>
  <c r="I318" i="9"/>
  <c r="L325" i="9"/>
  <c r="K325" i="9"/>
  <c r="J325" i="9"/>
  <c r="L349" i="9"/>
  <c r="K349" i="9"/>
  <c r="J349" i="9"/>
  <c r="M357" i="9"/>
  <c r="L357" i="9"/>
  <c r="J357" i="9"/>
  <c r="L370" i="9"/>
  <c r="J370" i="9"/>
  <c r="I370" i="9"/>
  <c r="J376" i="9"/>
  <c r="M376" i="9"/>
  <c r="K376" i="9"/>
  <c r="M379" i="9"/>
  <c r="J379" i="9"/>
  <c r="I379" i="9"/>
  <c r="K384" i="9"/>
  <c r="J384" i="9"/>
  <c r="I384" i="9"/>
  <c r="J400" i="9"/>
  <c r="I400" i="9"/>
  <c r="L416" i="9"/>
  <c r="M424" i="9"/>
  <c r="L424" i="9"/>
  <c r="K424" i="9"/>
  <c r="I424" i="9"/>
  <c r="M442" i="9"/>
  <c r="M445" i="9"/>
  <c r="I448" i="9"/>
  <c r="K464" i="9"/>
  <c r="M469" i="9"/>
  <c r="J469" i="9"/>
  <c r="M472" i="9"/>
  <c r="L472" i="9"/>
  <c r="J472" i="9"/>
  <c r="M489" i="9"/>
  <c r="L489" i="9"/>
  <c r="K489" i="9"/>
  <c r="I489" i="9"/>
  <c r="I505" i="9"/>
  <c r="I306" i="9"/>
  <c r="J311" i="9"/>
  <c r="I313" i="9"/>
  <c r="I324" i="9"/>
  <c r="I329" i="9"/>
  <c r="I340" i="9"/>
  <c r="I354" i="9"/>
  <c r="J361" i="9"/>
  <c r="J375" i="9"/>
  <c r="I390" i="9"/>
  <c r="I401" i="9"/>
  <c r="I417" i="9"/>
  <c r="I423" i="9"/>
  <c r="I428" i="9"/>
  <c r="I430" i="9"/>
  <c r="I432" i="9"/>
  <c r="I465" i="9"/>
  <c r="I479" i="9"/>
  <c r="K483" i="9"/>
  <c r="L492" i="9"/>
  <c r="K499" i="9"/>
  <c r="I511" i="9"/>
  <c r="K515" i="9"/>
  <c r="J306" i="9"/>
  <c r="K311" i="9"/>
  <c r="J313" i="9"/>
  <c r="J324" i="9"/>
  <c r="J340" i="9"/>
  <c r="J354" i="9"/>
  <c r="L361" i="9"/>
  <c r="K375" i="9"/>
  <c r="J390" i="9"/>
  <c r="J401" i="9"/>
  <c r="J417" i="9"/>
  <c r="J423" i="9"/>
  <c r="L428" i="9"/>
  <c r="J430" i="9"/>
  <c r="J432" i="9"/>
  <c r="J465" i="9"/>
  <c r="L483" i="9"/>
  <c r="L499" i="9"/>
  <c r="L515" i="9"/>
  <c r="I285" i="9"/>
  <c r="K306" i="9"/>
  <c r="K354" i="9"/>
  <c r="I360" i="9"/>
  <c r="M361" i="9"/>
  <c r="L375" i="9"/>
  <c r="K423" i="9"/>
  <c r="J482" i="9"/>
  <c r="M483" i="9"/>
  <c r="J498" i="9"/>
  <c r="M499" i="9"/>
  <c r="K507" i="9"/>
  <c r="J514" i="9"/>
  <c r="M515" i="9"/>
  <c r="T31" i="9"/>
  <c r="K31" i="9"/>
  <c r="J185" i="9"/>
  <c r="I185" i="9"/>
  <c r="K185" i="9"/>
  <c r="M204" i="9"/>
  <c r="L204" i="9"/>
  <c r="K204" i="9"/>
  <c r="K218" i="9"/>
  <c r="J218" i="9"/>
  <c r="I218" i="9"/>
  <c r="L218" i="9"/>
  <c r="M196" i="9"/>
  <c r="L196" i="9"/>
  <c r="K196" i="9"/>
  <c r="J169" i="9"/>
  <c r="I169" i="9"/>
  <c r="K169" i="9"/>
  <c r="K202" i="9"/>
  <c r="J202" i="9"/>
  <c r="I202" i="9"/>
  <c r="L202" i="9"/>
  <c r="L227" i="9"/>
  <c r="K227" i="9"/>
  <c r="J227" i="9"/>
  <c r="M227" i="9"/>
  <c r="J312" i="9"/>
  <c r="I312" i="9"/>
  <c r="M312" i="9"/>
  <c r="L312" i="9"/>
  <c r="K312" i="9"/>
  <c r="L219" i="9"/>
  <c r="K219" i="9"/>
  <c r="J219" i="9"/>
  <c r="M219" i="9"/>
  <c r="E42" i="9"/>
  <c r="N94" i="9"/>
  <c r="N133" i="9"/>
  <c r="AK27" i="9" s="1" a="1"/>
  <c r="N142" i="9"/>
  <c r="N150" i="9"/>
  <c r="L187" i="9"/>
  <c r="K187" i="9"/>
  <c r="J187" i="9"/>
  <c r="M187" i="9"/>
  <c r="J193" i="9"/>
  <c r="I193" i="9"/>
  <c r="K193" i="9"/>
  <c r="M212" i="9"/>
  <c r="L212" i="9"/>
  <c r="K212" i="9"/>
  <c r="K226" i="9"/>
  <c r="J226" i="9"/>
  <c r="I226" i="9"/>
  <c r="L226" i="9"/>
  <c r="M250" i="9"/>
  <c r="L250" i="9"/>
  <c r="K250" i="9"/>
  <c r="J250" i="9"/>
  <c r="I275" i="9"/>
  <c r="M275" i="9"/>
  <c r="L275" i="9"/>
  <c r="K275" i="9"/>
  <c r="M279" i="9"/>
  <c r="L279" i="9"/>
  <c r="K279" i="9"/>
  <c r="J279" i="9"/>
  <c r="L338" i="9"/>
  <c r="M338" i="9"/>
  <c r="K338" i="9"/>
  <c r="J338" i="9"/>
  <c r="I338" i="9"/>
  <c r="M371" i="9"/>
  <c r="J371" i="9"/>
  <c r="I371" i="9"/>
  <c r="K371" i="9"/>
  <c r="M383" i="9"/>
  <c r="I383" i="9"/>
  <c r="L383" i="9"/>
  <c r="K383" i="9"/>
  <c r="J383" i="9"/>
  <c r="J177" i="9"/>
  <c r="I177" i="9"/>
  <c r="K177" i="9"/>
  <c r="J284" i="9"/>
  <c r="M284" i="9"/>
  <c r="L284" i="9"/>
  <c r="K284" i="9"/>
  <c r="I284" i="9"/>
  <c r="L288" i="9"/>
  <c r="K288" i="9"/>
  <c r="J288" i="9"/>
  <c r="I288" i="9"/>
  <c r="M288" i="9"/>
  <c r="K468" i="9"/>
  <c r="J468" i="9"/>
  <c r="M468" i="9"/>
  <c r="L468" i="9"/>
  <c r="I468" i="9"/>
  <c r="J368" i="9"/>
  <c r="M368" i="9"/>
  <c r="L368" i="9"/>
  <c r="K368" i="9"/>
  <c r="I368" i="9"/>
  <c r="K436" i="9"/>
  <c r="J436" i="9"/>
  <c r="M436" i="9"/>
  <c r="L436" i="9"/>
  <c r="I436" i="9"/>
  <c r="K210" i="9"/>
  <c r="J210" i="9"/>
  <c r="I210" i="9"/>
  <c r="L210" i="9"/>
  <c r="K293" i="9"/>
  <c r="L293" i="9"/>
  <c r="J293" i="9"/>
  <c r="I293" i="9"/>
  <c r="M293" i="9"/>
  <c r="M180" i="9"/>
  <c r="L180" i="9"/>
  <c r="K180" i="9"/>
  <c r="M407" i="9"/>
  <c r="L407" i="9"/>
  <c r="K407" i="9"/>
  <c r="J407" i="9"/>
  <c r="I407" i="9"/>
  <c r="L243" i="9"/>
  <c r="K243" i="9"/>
  <c r="J243" i="9"/>
  <c r="I243" i="9"/>
  <c r="M243" i="9"/>
  <c r="L235" i="9"/>
  <c r="K235" i="9"/>
  <c r="J235" i="9"/>
  <c r="M235" i="9"/>
  <c r="M263" i="9"/>
  <c r="K263" i="9"/>
  <c r="J263" i="9"/>
  <c r="I263" i="9"/>
  <c r="L263" i="9"/>
  <c r="M188" i="9"/>
  <c r="L188" i="9"/>
  <c r="K188" i="9"/>
  <c r="I204" i="9"/>
  <c r="M185" i="9"/>
  <c r="K194" i="9"/>
  <c r="J194" i="9"/>
  <c r="I194" i="9"/>
  <c r="L194" i="9"/>
  <c r="J204" i="9"/>
  <c r="J328" i="9"/>
  <c r="L328" i="9"/>
  <c r="M328" i="9"/>
  <c r="K328" i="9"/>
  <c r="L405" i="9"/>
  <c r="K405" i="9"/>
  <c r="M405" i="9"/>
  <c r="J405" i="9"/>
  <c r="AU43" i="9"/>
  <c r="AY60" i="9" s="1"/>
  <c r="AU42" i="9"/>
  <c r="AY59" i="9" s="1"/>
  <c r="BC59" i="9" s="1"/>
  <c r="AU46" i="9"/>
  <c r="AY63" i="9" s="1"/>
  <c r="AG126" i="9"/>
  <c r="AI126" i="9" s="1"/>
  <c r="L169" i="9"/>
  <c r="M172" i="9"/>
  <c r="L172" i="9"/>
  <c r="K172" i="9"/>
  <c r="M177" i="9"/>
  <c r="K186" i="9"/>
  <c r="J186" i="9"/>
  <c r="I186" i="9"/>
  <c r="L186" i="9"/>
  <c r="I188" i="9"/>
  <c r="J196" i="9"/>
  <c r="M202" i="9"/>
  <c r="L211" i="9"/>
  <c r="K211" i="9"/>
  <c r="J211" i="9"/>
  <c r="M211" i="9"/>
  <c r="J217" i="9"/>
  <c r="I217" i="9"/>
  <c r="K217" i="9"/>
  <c r="I227" i="9"/>
  <c r="L233" i="9"/>
  <c r="M236" i="9"/>
  <c r="L236" i="9"/>
  <c r="K236" i="9"/>
  <c r="L294" i="9"/>
  <c r="M294" i="9"/>
  <c r="K294" i="9"/>
  <c r="J294" i="9"/>
  <c r="I316" i="9"/>
  <c r="M316" i="9"/>
  <c r="L316" i="9"/>
  <c r="K316" i="9"/>
  <c r="J342" i="9"/>
  <c r="I342" i="9"/>
  <c r="K342" i="9"/>
  <c r="M342" i="9"/>
  <c r="I259" i="9"/>
  <c r="L259" i="9"/>
  <c r="K259" i="9"/>
  <c r="J259" i="9"/>
  <c r="M259" i="9"/>
  <c r="AY61" i="9"/>
  <c r="M244" i="9"/>
  <c r="L244" i="9"/>
  <c r="K244" i="9"/>
  <c r="J244" i="9"/>
  <c r="K298" i="9"/>
  <c r="J298" i="9"/>
  <c r="I298" i="9"/>
  <c r="L298" i="9"/>
  <c r="J260" i="9"/>
  <c r="M260" i="9"/>
  <c r="L260" i="9"/>
  <c r="K260" i="9"/>
  <c r="M264" i="9"/>
  <c r="L264" i="9"/>
  <c r="K264" i="9"/>
  <c r="J264" i="9"/>
  <c r="M323" i="9"/>
  <c r="L323" i="9"/>
  <c r="K323" i="9"/>
  <c r="J323" i="9"/>
  <c r="I323" i="9"/>
  <c r="M169" i="9"/>
  <c r="K178" i="9"/>
  <c r="J178" i="9"/>
  <c r="I178" i="9"/>
  <c r="L178" i="9"/>
  <c r="I180" i="9"/>
  <c r="J188" i="9"/>
  <c r="M194" i="9"/>
  <c r="L203" i="9"/>
  <c r="K203" i="9"/>
  <c r="J203" i="9"/>
  <c r="M203" i="9"/>
  <c r="J209" i="9"/>
  <c r="I209" i="9"/>
  <c r="K209" i="9"/>
  <c r="I219" i="9"/>
  <c r="M228" i="9"/>
  <c r="L228" i="9"/>
  <c r="K228" i="9"/>
  <c r="K242" i="9"/>
  <c r="J242" i="9"/>
  <c r="I242" i="9"/>
  <c r="L242" i="9"/>
  <c r="K248" i="9"/>
  <c r="J248" i="9"/>
  <c r="I248" i="9"/>
  <c r="L248" i="9"/>
  <c r="I260" i="9"/>
  <c r="I264" i="9"/>
  <c r="K269" i="9"/>
  <c r="M269" i="9"/>
  <c r="L269" i="9"/>
  <c r="J269" i="9"/>
  <c r="I269" i="9"/>
  <c r="L274" i="9"/>
  <c r="K274" i="9"/>
  <c r="J274" i="9"/>
  <c r="I274" i="9"/>
  <c r="M274" i="9"/>
  <c r="L278" i="9"/>
  <c r="K278" i="9"/>
  <c r="J278" i="9"/>
  <c r="I278" i="9"/>
  <c r="M278" i="9"/>
  <c r="I299" i="9"/>
  <c r="M299" i="9"/>
  <c r="L299" i="9"/>
  <c r="K299" i="9"/>
  <c r="J299" i="9"/>
  <c r="M303" i="9"/>
  <c r="L303" i="9"/>
  <c r="K303" i="9"/>
  <c r="J303" i="9"/>
  <c r="I303" i="9"/>
  <c r="I328" i="9"/>
  <c r="K353" i="9"/>
  <c r="M353" i="9"/>
  <c r="L353" i="9"/>
  <c r="J353" i="9"/>
  <c r="I353" i="9"/>
  <c r="I405" i="9"/>
  <c r="L179" i="9"/>
  <c r="K179" i="9"/>
  <c r="J179" i="9"/>
  <c r="M179" i="9"/>
  <c r="L254" i="9"/>
  <c r="M254" i="9"/>
  <c r="K254" i="9"/>
  <c r="J254" i="9"/>
  <c r="I254" i="9"/>
  <c r="L171" i="9"/>
  <c r="K171" i="9"/>
  <c r="J171" i="9"/>
  <c r="M171" i="9"/>
  <c r="L185" i="9"/>
  <c r="M218" i="9"/>
  <c r="J233" i="9"/>
  <c r="I233" i="9"/>
  <c r="K233" i="9"/>
  <c r="J356" i="9"/>
  <c r="I356" i="9"/>
  <c r="K356" i="9"/>
  <c r="M356" i="9"/>
  <c r="I171" i="9"/>
  <c r="L177" i="9"/>
  <c r="I196" i="9"/>
  <c r="M210" i="9"/>
  <c r="J225" i="9"/>
  <c r="I225" i="9"/>
  <c r="K225" i="9"/>
  <c r="L308" i="9"/>
  <c r="M308" i="9"/>
  <c r="K308" i="9"/>
  <c r="J308" i="9"/>
  <c r="J392" i="9"/>
  <c r="I392" i="9"/>
  <c r="M392" i="9"/>
  <c r="L392" i="9"/>
  <c r="T28" i="9"/>
  <c r="AZ29" i="9"/>
  <c r="AZ30" i="9"/>
  <c r="AU47" i="9"/>
  <c r="AY64" i="9" s="1"/>
  <c r="N135" i="9"/>
  <c r="N136" i="9" s="1"/>
  <c r="K170" i="9"/>
  <c r="J170" i="9"/>
  <c r="I170" i="9"/>
  <c r="L170" i="9"/>
  <c r="I172" i="9"/>
  <c r="J180" i="9"/>
  <c r="M186" i="9"/>
  <c r="L195" i="9"/>
  <c r="K195" i="9"/>
  <c r="J195" i="9"/>
  <c r="M195" i="9"/>
  <c r="J201" i="9"/>
  <c r="I201" i="9"/>
  <c r="K201" i="9"/>
  <c r="I211" i="9"/>
  <c r="L217" i="9"/>
  <c r="M220" i="9"/>
  <c r="L220" i="9"/>
  <c r="K220" i="9"/>
  <c r="M225" i="9"/>
  <c r="K234" i="9"/>
  <c r="J234" i="9"/>
  <c r="I234" i="9"/>
  <c r="L234" i="9"/>
  <c r="I236" i="9"/>
  <c r="I294" i="9"/>
  <c r="J316" i="9"/>
  <c r="J320" i="9"/>
  <c r="M320" i="9"/>
  <c r="L320" i="9"/>
  <c r="K320" i="9"/>
  <c r="L342" i="9"/>
  <c r="M386" i="9"/>
  <c r="J386" i="9"/>
  <c r="I386" i="9"/>
  <c r="K386" i="9"/>
  <c r="L386" i="9"/>
  <c r="K241" i="9"/>
  <c r="L253" i="9"/>
  <c r="K258" i="9"/>
  <c r="L268" i="9"/>
  <c r="K272" i="9"/>
  <c r="L283" i="9"/>
  <c r="K287" i="9"/>
  <c r="K302" i="9"/>
  <c r="K313" i="9"/>
  <c r="L313" i="9"/>
  <c r="M334" i="9"/>
  <c r="L334" i="9"/>
  <c r="K334" i="9"/>
  <c r="M348" i="9"/>
  <c r="L348" i="9"/>
  <c r="K348" i="9"/>
  <c r="J352" i="9"/>
  <c r="K352" i="9"/>
  <c r="I352" i="9"/>
  <c r="L352" i="9"/>
  <c r="M363" i="9"/>
  <c r="L363" i="9"/>
  <c r="K363" i="9"/>
  <c r="I367" i="9"/>
  <c r="K367" i="9"/>
  <c r="J367" i="9"/>
  <c r="L367" i="9"/>
  <c r="L378" i="9"/>
  <c r="M378" i="9"/>
  <c r="K378" i="9"/>
  <c r="J411" i="9"/>
  <c r="I411" i="9"/>
  <c r="L411" i="9"/>
  <c r="K411" i="9"/>
  <c r="I418" i="9"/>
  <c r="K418" i="9"/>
  <c r="J418" i="9"/>
  <c r="M418" i="9"/>
  <c r="L418" i="9"/>
  <c r="J427" i="9"/>
  <c r="I427" i="9"/>
  <c r="L427" i="9"/>
  <c r="K427" i="9"/>
  <c r="M427" i="9"/>
  <c r="K484" i="9"/>
  <c r="J484" i="9"/>
  <c r="I484" i="9"/>
  <c r="M484" i="9"/>
  <c r="L484" i="9"/>
  <c r="M487" i="9"/>
  <c r="L487" i="9"/>
  <c r="K487" i="9"/>
  <c r="J487" i="9"/>
  <c r="I487" i="9"/>
  <c r="K500" i="9"/>
  <c r="J500" i="9"/>
  <c r="I500" i="9"/>
  <c r="M500" i="9"/>
  <c r="L500" i="9"/>
  <c r="J443" i="9"/>
  <c r="I443" i="9"/>
  <c r="L443" i="9"/>
  <c r="K443" i="9"/>
  <c r="M443" i="9"/>
  <c r="I466" i="9"/>
  <c r="M466" i="9"/>
  <c r="L466" i="9"/>
  <c r="M478" i="9"/>
  <c r="L478" i="9"/>
  <c r="K478" i="9"/>
  <c r="J478" i="9"/>
  <c r="I478" i="9"/>
  <c r="M307" i="9"/>
  <c r="J307" i="9"/>
  <c r="I319" i="9"/>
  <c r="M319" i="9"/>
  <c r="I327" i="9"/>
  <c r="J327" i="9"/>
  <c r="I335" i="9"/>
  <c r="M335" i="9"/>
  <c r="L358" i="9"/>
  <c r="K358" i="9"/>
  <c r="J358" i="9"/>
  <c r="M358" i="9"/>
  <c r="L372" i="9"/>
  <c r="K372" i="9"/>
  <c r="J372" i="9"/>
  <c r="M372" i="9"/>
  <c r="K389" i="9"/>
  <c r="M389" i="9"/>
  <c r="L389" i="9"/>
  <c r="J389" i="9"/>
  <c r="I389" i="9"/>
  <c r="L437" i="9"/>
  <c r="K437" i="9"/>
  <c r="M437" i="9"/>
  <c r="J437" i="9"/>
  <c r="I437" i="9"/>
  <c r="I458" i="9"/>
  <c r="M458" i="9"/>
  <c r="L458" i="9"/>
  <c r="K458" i="9"/>
  <c r="J458" i="9"/>
  <c r="K466" i="9"/>
  <c r="L517" i="9"/>
  <c r="K517" i="9"/>
  <c r="J517" i="9"/>
  <c r="I517" i="9"/>
  <c r="M517" i="9"/>
  <c r="L118" i="9"/>
  <c r="N118" i="9" s="1"/>
  <c r="AD27" i="9" s="1" a="1"/>
  <c r="L120" i="9"/>
  <c r="M124" i="9"/>
  <c r="N124" i="9" s="1"/>
  <c r="L173" i="9"/>
  <c r="L181" i="9"/>
  <c r="L189" i="9"/>
  <c r="L197" i="9"/>
  <c r="L205" i="9"/>
  <c r="L213" i="9"/>
  <c r="L221" i="9"/>
  <c r="L229" i="9"/>
  <c r="L237" i="9"/>
  <c r="L245" i="9"/>
  <c r="M251" i="9"/>
  <c r="L255" i="9"/>
  <c r="M270" i="9"/>
  <c r="M285" i="9"/>
  <c r="L290" i="9"/>
  <c r="M300" i="9"/>
  <c r="L304" i="9"/>
  <c r="L322" i="9"/>
  <c r="J322" i="9"/>
  <c r="K332" i="9"/>
  <c r="J332" i="9"/>
  <c r="I332" i="9"/>
  <c r="I343" i="9"/>
  <c r="L343" i="9"/>
  <c r="K343" i="9"/>
  <c r="J343" i="9"/>
  <c r="M343" i="9"/>
  <c r="I387" i="9"/>
  <c r="M387" i="9"/>
  <c r="L387" i="9"/>
  <c r="K387" i="9"/>
  <c r="I426" i="9"/>
  <c r="M426" i="9"/>
  <c r="L426" i="9"/>
  <c r="K426" i="9"/>
  <c r="M495" i="9"/>
  <c r="L495" i="9"/>
  <c r="K495" i="9"/>
  <c r="J495" i="9"/>
  <c r="I495" i="9"/>
  <c r="I241" i="9"/>
  <c r="I253" i="9"/>
  <c r="I258" i="9"/>
  <c r="I268" i="9"/>
  <c r="I272" i="9"/>
  <c r="J283" i="9"/>
  <c r="I287" i="9"/>
  <c r="I302" i="9"/>
  <c r="I307" i="9"/>
  <c r="J319" i="9"/>
  <c r="K327" i="9"/>
  <c r="K329" i="9"/>
  <c r="M329" i="9"/>
  <c r="L329" i="9"/>
  <c r="J335" i="9"/>
  <c r="M347" i="9"/>
  <c r="K347" i="9"/>
  <c r="J347" i="9"/>
  <c r="I347" i="9"/>
  <c r="L347" i="9"/>
  <c r="I358" i="9"/>
  <c r="L362" i="9"/>
  <c r="K362" i="9"/>
  <c r="J362" i="9"/>
  <c r="I362" i="9"/>
  <c r="M362" i="9"/>
  <c r="I372" i="9"/>
  <c r="K377" i="9"/>
  <c r="L377" i="9"/>
  <c r="J377" i="9"/>
  <c r="I377" i="9"/>
  <c r="M377" i="9"/>
  <c r="J395" i="9"/>
  <c r="I395" i="9"/>
  <c r="M395" i="9"/>
  <c r="M399" i="9"/>
  <c r="J399" i="9"/>
  <c r="I399" i="9"/>
  <c r="L399" i="9"/>
  <c r="K399" i="9"/>
  <c r="M447" i="9"/>
  <c r="L447" i="9"/>
  <c r="K447" i="9"/>
  <c r="J447" i="9"/>
  <c r="I247" i="9"/>
  <c r="J253" i="9"/>
  <c r="I262" i="9"/>
  <c r="K268" i="9"/>
  <c r="I277" i="9"/>
  <c r="K283" i="9"/>
  <c r="J287" i="9"/>
  <c r="I292" i="9"/>
  <c r="J302" i="9"/>
  <c r="K307" i="9"/>
  <c r="I314" i="9"/>
  <c r="K319" i="9"/>
  <c r="I322" i="9"/>
  <c r="L327" i="9"/>
  <c r="L332" i="9"/>
  <c r="K335" i="9"/>
  <c r="K337" i="9"/>
  <c r="J337" i="9"/>
  <c r="I337" i="9"/>
  <c r="J344" i="9"/>
  <c r="M344" i="9"/>
  <c r="L344" i="9"/>
  <c r="I359" i="9"/>
  <c r="M359" i="9"/>
  <c r="L359" i="9"/>
  <c r="K382" i="9"/>
  <c r="J382" i="9"/>
  <c r="I382" i="9"/>
  <c r="L382" i="9"/>
  <c r="J387" i="9"/>
  <c r="L397" i="9"/>
  <c r="K397" i="9"/>
  <c r="M397" i="9"/>
  <c r="J397" i="9"/>
  <c r="I397" i="9"/>
  <c r="J426" i="9"/>
  <c r="J388" i="9"/>
  <c r="K388" i="9"/>
  <c r="I388" i="9"/>
  <c r="M415" i="9"/>
  <c r="L415" i="9"/>
  <c r="M446" i="9"/>
  <c r="L446" i="9"/>
  <c r="K446" i="9"/>
  <c r="J446" i="9"/>
  <c r="I446" i="9"/>
  <c r="J451" i="9"/>
  <c r="I451" i="9"/>
  <c r="M451" i="9"/>
  <c r="L451" i="9"/>
  <c r="L453" i="9"/>
  <c r="K453" i="9"/>
  <c r="J453" i="9"/>
  <c r="I453" i="9"/>
  <c r="L461" i="9"/>
  <c r="K461" i="9"/>
  <c r="M461" i="9"/>
  <c r="J461" i="9"/>
  <c r="M463" i="9"/>
  <c r="J463" i="9"/>
  <c r="I463" i="9"/>
  <c r="L463" i="9"/>
  <c r="L501" i="9"/>
  <c r="K501" i="9"/>
  <c r="J501" i="9"/>
  <c r="I501" i="9"/>
  <c r="M501" i="9"/>
  <c r="L339" i="9"/>
  <c r="M354" i="9"/>
  <c r="M369" i="9"/>
  <c r="L374" i="9"/>
  <c r="I402" i="9"/>
  <c r="M402" i="9"/>
  <c r="K412" i="9"/>
  <c r="J412" i="9"/>
  <c r="M412" i="9"/>
  <c r="M439" i="9"/>
  <c r="L439" i="9"/>
  <c r="K439" i="9"/>
  <c r="J439" i="9"/>
  <c r="I450" i="9"/>
  <c r="K450" i="9"/>
  <c r="J450" i="9"/>
  <c r="M450" i="9"/>
  <c r="L469" i="9"/>
  <c r="K469" i="9"/>
  <c r="M503" i="9"/>
  <c r="L503" i="9"/>
  <c r="K503" i="9"/>
  <c r="J503" i="9"/>
  <c r="L509" i="9"/>
  <c r="K509" i="9"/>
  <c r="J509" i="9"/>
  <c r="I509" i="9"/>
  <c r="M509" i="9"/>
  <c r="I394" i="9"/>
  <c r="M394" i="9"/>
  <c r="L394" i="9"/>
  <c r="K394" i="9"/>
  <c r="M414" i="9"/>
  <c r="L414" i="9"/>
  <c r="K414" i="9"/>
  <c r="J414" i="9"/>
  <c r="I414" i="9"/>
  <c r="J419" i="9"/>
  <c r="I419" i="9"/>
  <c r="M419" i="9"/>
  <c r="L419" i="9"/>
  <c r="L421" i="9"/>
  <c r="K421" i="9"/>
  <c r="J421" i="9"/>
  <c r="I421" i="9"/>
  <c r="L429" i="9"/>
  <c r="K429" i="9"/>
  <c r="M429" i="9"/>
  <c r="J429" i="9"/>
  <c r="M431" i="9"/>
  <c r="J431" i="9"/>
  <c r="I431" i="9"/>
  <c r="L431" i="9"/>
  <c r="J459" i="9"/>
  <c r="I459" i="9"/>
  <c r="M494" i="9"/>
  <c r="L494" i="9"/>
  <c r="K494" i="9"/>
  <c r="J494" i="9"/>
  <c r="I331" i="9"/>
  <c r="I346" i="9"/>
  <c r="I361" i="9"/>
  <c r="I376" i="9"/>
  <c r="L390" i="9"/>
  <c r="M390" i="9"/>
  <c r="J402" i="9"/>
  <c r="K404" i="9"/>
  <c r="J404" i="9"/>
  <c r="M404" i="9"/>
  <c r="L404" i="9"/>
  <c r="I404" i="9"/>
  <c r="I412" i="9"/>
  <c r="I434" i="9"/>
  <c r="M434" i="9"/>
  <c r="I439" i="9"/>
  <c r="L450" i="9"/>
  <c r="I469" i="9"/>
  <c r="M471" i="9"/>
  <c r="L471" i="9"/>
  <c r="K471" i="9"/>
  <c r="J471" i="9"/>
  <c r="I503" i="9"/>
  <c r="M422" i="9"/>
  <c r="L422" i="9"/>
  <c r="K444" i="9"/>
  <c r="J444" i="9"/>
  <c r="M454" i="9"/>
  <c r="L454" i="9"/>
  <c r="K476" i="9"/>
  <c r="J476" i="9"/>
  <c r="M486" i="9"/>
  <c r="L486" i="9"/>
  <c r="K486" i="9"/>
  <c r="J486" i="9"/>
  <c r="K492" i="9"/>
  <c r="J492" i="9"/>
  <c r="I492" i="9"/>
  <c r="M511" i="9"/>
  <c r="L511" i="9"/>
  <c r="K511" i="9"/>
  <c r="K396" i="9"/>
  <c r="J396" i="9"/>
  <c r="M406" i="9"/>
  <c r="L406" i="9"/>
  <c r="K422" i="9"/>
  <c r="K428" i="9"/>
  <c r="J428" i="9"/>
  <c r="M438" i="9"/>
  <c r="L438" i="9"/>
  <c r="M444" i="9"/>
  <c r="K454" i="9"/>
  <c r="K460" i="9"/>
  <c r="J460" i="9"/>
  <c r="M470" i="9"/>
  <c r="L470" i="9"/>
  <c r="M476" i="9"/>
  <c r="M479" i="9"/>
  <c r="L479" i="9"/>
  <c r="K479" i="9"/>
  <c r="L493" i="9"/>
  <c r="K493" i="9"/>
  <c r="J493" i="9"/>
  <c r="I493" i="9"/>
  <c r="M518" i="9"/>
  <c r="L518" i="9"/>
  <c r="K518" i="9"/>
  <c r="J518" i="9"/>
  <c r="J403" i="9"/>
  <c r="I403" i="9"/>
  <c r="L413" i="9"/>
  <c r="K413" i="9"/>
  <c r="J435" i="9"/>
  <c r="I435" i="9"/>
  <c r="L445" i="9"/>
  <c r="K445" i="9"/>
  <c r="J467" i="9"/>
  <c r="I467" i="9"/>
  <c r="L477" i="9"/>
  <c r="K477" i="9"/>
  <c r="I477" i="9"/>
  <c r="L485" i="9"/>
  <c r="K485" i="9"/>
  <c r="J485" i="9"/>
  <c r="I485" i="9"/>
  <c r="M510" i="9"/>
  <c r="L510" i="9"/>
  <c r="K510" i="9"/>
  <c r="J510" i="9"/>
  <c r="K516" i="9"/>
  <c r="J516" i="9"/>
  <c r="I516" i="9"/>
  <c r="M398" i="9"/>
  <c r="L398" i="9"/>
  <c r="K420" i="9"/>
  <c r="J420" i="9"/>
  <c r="M430" i="9"/>
  <c r="L430" i="9"/>
  <c r="K452" i="9"/>
  <c r="J452" i="9"/>
  <c r="M462" i="9"/>
  <c r="L462" i="9"/>
  <c r="M502" i="9"/>
  <c r="L502" i="9"/>
  <c r="K502" i="9"/>
  <c r="J502" i="9"/>
  <c r="K508" i="9"/>
  <c r="J508" i="9"/>
  <c r="I508" i="9"/>
  <c r="I518" i="9"/>
  <c r="I475" i="9"/>
  <c r="I483" i="9"/>
  <c r="I491" i="9"/>
  <c r="I499" i="9"/>
  <c r="I507" i="9"/>
  <c r="I515" i="9"/>
  <c r="N92" i="6"/>
  <c r="N93" i="6"/>
  <c r="N101" i="6"/>
  <c r="N102" i="6"/>
  <c r="N109" i="6"/>
  <c r="U27" i="6" s="1" a="1"/>
  <c r="U27" i="6" s="1"/>
  <c r="AD34" i="6" a="1"/>
  <c r="AD34" i="6" s="1"/>
  <c r="AD27" i="6" a="1"/>
  <c r="AD27" i="6" s="1"/>
  <c r="M124" i="6"/>
  <c r="M125" i="6"/>
  <c r="M126" i="6"/>
  <c r="M127" i="6"/>
  <c r="M128" i="6"/>
  <c r="M129" i="6"/>
  <c r="M123" i="6"/>
  <c r="L116" i="6"/>
  <c r="L117" i="6"/>
  <c r="L118" i="6"/>
  <c r="L119" i="6"/>
  <c r="L120" i="6"/>
  <c r="L121" i="6"/>
  <c r="N121" i="6" s="1"/>
  <c r="L115" i="6"/>
  <c r="AD24" i="6"/>
  <c r="M115" i="6"/>
  <c r="M121" i="6"/>
  <c r="M120" i="6"/>
  <c r="M119" i="6"/>
  <c r="M118" i="6"/>
  <c r="N118" i="6"/>
  <c r="M117" i="6"/>
  <c r="N117" i="6"/>
  <c r="M116" i="6"/>
  <c r="N116" i="6"/>
  <c r="N115" i="6"/>
  <c r="V27" i="4"/>
  <c r="AB71" i="4"/>
  <c r="AB70" i="4" s="1"/>
  <c r="Y137" i="4"/>
  <c r="Y140" i="4"/>
  <c r="AA140" i="4" s="1"/>
  <c r="Y139" i="4"/>
  <c r="AA139" i="4" s="1"/>
  <c r="Y138" i="4"/>
  <c r="AA138" i="4" s="1"/>
  <c r="AA137" i="4"/>
  <c r="AA141" i="4" s="1"/>
  <c r="S141" i="4"/>
  <c r="AJ43" i="4"/>
  <c r="L131" i="4"/>
  <c r="N131" i="4" s="1"/>
  <c r="M137" i="4"/>
  <c r="L137" i="4"/>
  <c r="N137" i="4" s="1"/>
  <c r="M136" i="4"/>
  <c r="L136" i="4"/>
  <c r="M135" i="4"/>
  <c r="L135" i="4"/>
  <c r="N135" i="4" s="1"/>
  <c r="N136" i="4" s="1"/>
  <c r="M134" i="4"/>
  <c r="L134" i="4"/>
  <c r="N134" i="4" s="1"/>
  <c r="M133" i="4"/>
  <c r="L133" i="4"/>
  <c r="N133" i="4" s="1"/>
  <c r="M132" i="4"/>
  <c r="L132" i="4"/>
  <c r="N132" i="4" s="1"/>
  <c r="M131" i="4"/>
  <c r="AC13" i="4"/>
  <c r="Y32" i="4"/>
  <c r="AG121" i="9" l="1"/>
  <c r="AI121" i="9" s="1"/>
  <c r="K30" i="9"/>
  <c r="K29" i="9"/>
  <c r="U27" i="9" a="1"/>
  <c r="V29" i="9" s="1"/>
  <c r="AY62" i="9"/>
  <c r="AZ62" i="9" s="1"/>
  <c r="O27" i="9"/>
  <c r="P27" i="9" s="1"/>
  <c r="T32" i="9"/>
  <c r="P32" i="9" s="1"/>
  <c r="K32" i="9"/>
  <c r="AF27" i="9" a="1"/>
  <c r="AF27" i="9" s="1"/>
  <c r="AF35" i="9" s="1" a="1"/>
  <c r="AF35" i="9" s="1"/>
  <c r="AI43" i="9" a="1"/>
  <c r="AI43" i="9" s="1"/>
  <c r="K27" i="9"/>
  <c r="L33" i="9"/>
  <c r="K33" i="9" s="1"/>
  <c r="G27" i="9" a="1"/>
  <c r="H31" i="9" s="1"/>
  <c r="K28" i="9"/>
  <c r="AD27" i="9"/>
  <c r="AD34" i="9" s="1" a="1"/>
  <c r="AD34" i="9" s="1"/>
  <c r="H29" i="9"/>
  <c r="G27" i="9"/>
  <c r="H27" i="9" s="1"/>
  <c r="V30" i="9"/>
  <c r="P30" i="9"/>
  <c r="P31" i="9"/>
  <c r="X35" i="9"/>
  <c r="BC61" i="9"/>
  <c r="AZ61" i="9"/>
  <c r="AZ63" i="9"/>
  <c r="BC63" i="9"/>
  <c r="BC69" i="9" s="1"/>
  <c r="BE69" i="9" s="1"/>
  <c r="AK27" i="9"/>
  <c r="P28" i="9"/>
  <c r="V28" i="9"/>
  <c r="N119" i="6"/>
  <c r="N120" i="6" s="1"/>
  <c r="AK43" i="4" a="1"/>
  <c r="AL45" i="4" s="1"/>
  <c r="AL46" i="4"/>
  <c r="AL48" i="4"/>
  <c r="AC141" i="4"/>
  <c r="AJ44" i="4" s="1"/>
  <c r="AJ45" i="4" s="1"/>
  <c r="AK43" i="4"/>
  <c r="AL43" i="4" s="1"/>
  <c r="I13" i="7"/>
  <c r="H13" i="7"/>
  <c r="M26" i="7"/>
  <c r="O25" i="7"/>
  <c r="H32" i="9" l="1"/>
  <c r="V31" i="9"/>
  <c r="H30" i="9"/>
  <c r="H28" i="9"/>
  <c r="U27" i="9"/>
  <c r="V27" i="9" s="1"/>
  <c r="H33" i="9"/>
  <c r="V32" i="9"/>
  <c r="T33" i="9"/>
  <c r="T60" i="9" s="1"/>
  <c r="T59" i="9"/>
  <c r="H37" i="9"/>
  <c r="V53" i="9" s="1"/>
  <c r="AL47" i="4"/>
  <c r="AL44" i="4"/>
  <c r="AL49" i="4"/>
  <c r="I14" i="7"/>
  <c r="Q15" i="9" l="1"/>
  <c r="T34" i="9"/>
  <c r="S28" i="9" s="1"/>
  <c r="V33" i="9"/>
  <c r="V37" i="9" s="1"/>
  <c r="V45" i="9" s="1"/>
  <c r="S33" i="9"/>
  <c r="P33" i="9"/>
  <c r="P37" i="9" s="1"/>
  <c r="T61" i="9"/>
  <c r="V44" i="9"/>
  <c r="R15" i="9"/>
  <c r="S15" i="9" s="1"/>
  <c r="O16" i="9"/>
  <c r="S34" i="9"/>
  <c r="AC34" i="9"/>
  <c r="S29" i="9"/>
  <c r="S32" i="9"/>
  <c r="S31" i="9"/>
  <c r="S30" i="9"/>
  <c r="S27" i="9"/>
  <c r="AL50" i="4"/>
  <c r="AH65" i="6"/>
  <c r="AI65" i="6" s="1"/>
  <c r="P14" i="6"/>
  <c r="E31" i="6"/>
  <c r="E34" i="6"/>
  <c r="AO7" i="6"/>
  <c r="AO8" i="6"/>
  <c r="AO9" i="6"/>
  <c r="AO10" i="6"/>
  <c r="AO11" i="6"/>
  <c r="AO6" i="6"/>
  <c r="AZ34" i="6"/>
  <c r="AZ28" i="6" s="1"/>
  <c r="AT29" i="4"/>
  <c r="AT30" i="4"/>
  <c r="AT31" i="4"/>
  <c r="AT34" i="4"/>
  <c r="AT32" i="4" s="1"/>
  <c r="U34" i="9" l="1" a="1"/>
  <c r="U34" i="9" s="1"/>
  <c r="U36" i="9" s="1"/>
  <c r="AC29" i="9"/>
  <c r="AB110" i="9"/>
  <c r="AC27" i="9"/>
  <c r="W108" i="9"/>
  <c r="Z108" i="9" s="1"/>
  <c r="W109" i="9"/>
  <c r="Z109" i="9" s="1"/>
  <c r="X30" i="9" s="1"/>
  <c r="AC28" i="9"/>
  <c r="AB105" i="9"/>
  <c r="AC31" i="9"/>
  <c r="AC32" i="9"/>
  <c r="AB34" i="9"/>
  <c r="AB106" i="9"/>
  <c r="W107" i="9"/>
  <c r="Z107" i="9" s="1"/>
  <c r="AC33" i="9"/>
  <c r="AC30" i="9"/>
  <c r="AF36" i="9"/>
  <c r="G9" i="7"/>
  <c r="I9" i="7"/>
  <c r="AT27" i="4"/>
  <c r="AT33" i="4"/>
  <c r="AT28" i="4"/>
  <c r="AZ33" i="6"/>
  <c r="AZ32" i="6"/>
  <c r="AZ30" i="6"/>
  <c r="AZ27" i="6"/>
  <c r="AZ31" i="6"/>
  <c r="AZ29" i="6"/>
  <c r="H14" i="7"/>
  <c r="AE28" i="9" l="1"/>
  <c r="AG28" i="9"/>
  <c r="AQ28" i="9"/>
  <c r="X27" i="9"/>
  <c r="AC110" i="9"/>
  <c r="AD110" i="9" s="1"/>
  <c r="AC106" i="9"/>
  <c r="AD106" i="9" s="1"/>
  <c r="AC105" i="9"/>
  <c r="AD105" i="9" s="1"/>
  <c r="AQ30" i="9"/>
  <c r="AE30" i="9"/>
  <c r="AG30" i="9"/>
  <c r="AG33" i="9"/>
  <c r="AE33" i="9"/>
  <c r="X28" i="9"/>
  <c r="AC111" i="9"/>
  <c r="AQ32" i="9"/>
  <c r="AG32" i="9"/>
  <c r="AE32" i="9"/>
  <c r="AE29" i="9"/>
  <c r="AC59" i="9"/>
  <c r="AC61" i="9"/>
  <c r="AG29" i="9"/>
  <c r="AQ29" i="9"/>
  <c r="AC60" i="9"/>
  <c r="AE27" i="9"/>
  <c r="AG27" i="9"/>
  <c r="AQ27" i="9"/>
  <c r="AQ31" i="9"/>
  <c r="AE31" i="9"/>
  <c r="AG31" i="9"/>
  <c r="AA120" i="4"/>
  <c r="AA117" i="4"/>
  <c r="S147" i="4"/>
  <c r="Y144" i="4"/>
  <c r="AA144" i="4" s="1"/>
  <c r="Y145" i="4"/>
  <c r="AA145" i="4" s="1"/>
  <c r="Y146" i="4"/>
  <c r="AA146" i="4" s="1"/>
  <c r="Y143" i="4"/>
  <c r="AA143" i="4" s="1"/>
  <c r="U10" i="7"/>
  <c r="V10" i="7"/>
  <c r="T10" i="7"/>
  <c r="Q9" i="7"/>
  <c r="R9" i="7"/>
  <c r="S9" i="7"/>
  <c r="E8" i="7"/>
  <c r="C8" i="7"/>
  <c r="D8" i="7" s="1"/>
  <c r="I11" i="7"/>
  <c r="S11" i="7" s="1"/>
  <c r="G11" i="7"/>
  <c r="Q11" i="7" s="1"/>
  <c r="H11" i="7"/>
  <c r="R11" i="7" s="1"/>
  <c r="G12" i="7"/>
  <c r="H12" i="7"/>
  <c r="I12" i="7"/>
  <c r="G13" i="7"/>
  <c r="T13" i="7" s="1"/>
  <c r="U13" i="7"/>
  <c r="Q14" i="7"/>
  <c r="R14" i="7"/>
  <c r="S14" i="7"/>
  <c r="V13" i="7"/>
  <c r="E11" i="7"/>
  <c r="E7" i="7"/>
  <c r="D7" i="7"/>
  <c r="M105" i="6"/>
  <c r="M105" i="4"/>
  <c r="V2" i="4"/>
  <c r="W14" i="4"/>
  <c r="X15" i="4" s="1"/>
  <c r="AJ16" i="4"/>
  <c r="AK17" i="4" s="1"/>
  <c r="M131" i="6"/>
  <c r="Y137" i="6"/>
  <c r="AA137" i="6" s="1"/>
  <c r="Y140" i="6"/>
  <c r="AA140" i="6" s="1"/>
  <c r="Y139" i="6"/>
  <c r="AA139" i="6" s="1"/>
  <c r="Y138" i="6"/>
  <c r="AA138" i="6" s="1"/>
  <c r="L140" i="6"/>
  <c r="M140" i="6"/>
  <c r="L141" i="6"/>
  <c r="M141" i="6"/>
  <c r="L142" i="6"/>
  <c r="M142" i="6"/>
  <c r="L143" i="6"/>
  <c r="M143" i="6"/>
  <c r="L144" i="6"/>
  <c r="M144" i="6"/>
  <c r="L145" i="6"/>
  <c r="M145" i="6"/>
  <c r="L139" i="6"/>
  <c r="M139" i="6"/>
  <c r="S141" i="6"/>
  <c r="L123" i="6"/>
  <c r="L99" i="6"/>
  <c r="L91" i="6"/>
  <c r="T33" i="4"/>
  <c r="AH67" i="6"/>
  <c r="AX67" i="6"/>
  <c r="H518" i="6"/>
  <c r="G518" i="6"/>
  <c r="H517" i="6"/>
  <c r="G517" i="6"/>
  <c r="H516" i="6"/>
  <c r="G516" i="6"/>
  <c r="H515" i="6"/>
  <c r="G515" i="6"/>
  <c r="H514" i="6"/>
  <c r="G514" i="6"/>
  <c r="H513" i="6"/>
  <c r="G513" i="6"/>
  <c r="H512" i="6"/>
  <c r="G512" i="6"/>
  <c r="H511" i="6"/>
  <c r="G511" i="6"/>
  <c r="H510" i="6"/>
  <c r="G510" i="6"/>
  <c r="H509" i="6"/>
  <c r="G509" i="6"/>
  <c r="H508" i="6"/>
  <c r="G508" i="6"/>
  <c r="H507" i="6"/>
  <c r="G507" i="6"/>
  <c r="H506" i="6"/>
  <c r="G506" i="6"/>
  <c r="H505" i="6"/>
  <c r="G505" i="6"/>
  <c r="H504" i="6"/>
  <c r="G504" i="6"/>
  <c r="H503" i="6"/>
  <c r="G503" i="6"/>
  <c r="H502" i="6"/>
  <c r="G502" i="6"/>
  <c r="H501" i="6"/>
  <c r="G501" i="6"/>
  <c r="H500" i="6"/>
  <c r="G500" i="6"/>
  <c r="H499" i="6"/>
  <c r="G499" i="6"/>
  <c r="H498" i="6"/>
  <c r="G498" i="6"/>
  <c r="H497" i="6"/>
  <c r="G497" i="6"/>
  <c r="H496" i="6"/>
  <c r="G496" i="6"/>
  <c r="H495" i="6"/>
  <c r="G495" i="6"/>
  <c r="H494" i="6"/>
  <c r="G494" i="6"/>
  <c r="H493" i="6"/>
  <c r="G493" i="6"/>
  <c r="H492" i="6"/>
  <c r="G492" i="6"/>
  <c r="H491" i="6"/>
  <c r="G491" i="6"/>
  <c r="H490" i="6"/>
  <c r="G490" i="6"/>
  <c r="H489" i="6"/>
  <c r="G489" i="6"/>
  <c r="H488" i="6"/>
  <c r="G488" i="6"/>
  <c r="H487" i="6"/>
  <c r="G487" i="6"/>
  <c r="H486" i="6"/>
  <c r="G486" i="6"/>
  <c r="H485" i="6"/>
  <c r="G485" i="6"/>
  <c r="H484" i="6"/>
  <c r="G484" i="6"/>
  <c r="H483" i="6"/>
  <c r="G483" i="6"/>
  <c r="H482" i="6"/>
  <c r="G482" i="6"/>
  <c r="H481" i="6"/>
  <c r="G481" i="6"/>
  <c r="H480" i="6"/>
  <c r="G480" i="6"/>
  <c r="H479" i="6"/>
  <c r="G479" i="6"/>
  <c r="H478" i="6"/>
  <c r="G478" i="6"/>
  <c r="H477" i="6"/>
  <c r="G477" i="6"/>
  <c r="H476" i="6"/>
  <c r="G476" i="6"/>
  <c r="H475" i="6"/>
  <c r="G475" i="6"/>
  <c r="H474" i="6"/>
  <c r="G474" i="6"/>
  <c r="H473" i="6"/>
  <c r="G473" i="6"/>
  <c r="H472" i="6"/>
  <c r="G472" i="6"/>
  <c r="H471" i="6"/>
  <c r="G471" i="6"/>
  <c r="H470" i="6"/>
  <c r="G470" i="6"/>
  <c r="H469" i="6"/>
  <c r="G469" i="6"/>
  <c r="H468" i="6"/>
  <c r="G468" i="6"/>
  <c r="H467" i="6"/>
  <c r="G467" i="6"/>
  <c r="H466" i="6"/>
  <c r="G466" i="6"/>
  <c r="H465" i="6"/>
  <c r="G465" i="6"/>
  <c r="H464" i="6"/>
  <c r="G464" i="6"/>
  <c r="H463" i="6"/>
  <c r="G463" i="6"/>
  <c r="H462" i="6"/>
  <c r="G462" i="6"/>
  <c r="H461" i="6"/>
  <c r="G461" i="6"/>
  <c r="H460" i="6"/>
  <c r="G460" i="6"/>
  <c r="H459" i="6"/>
  <c r="G459" i="6"/>
  <c r="H458" i="6"/>
  <c r="G458" i="6"/>
  <c r="H457" i="6"/>
  <c r="G457" i="6"/>
  <c r="H456" i="6"/>
  <c r="G456" i="6"/>
  <c r="H455" i="6"/>
  <c r="G455" i="6"/>
  <c r="H454" i="6"/>
  <c r="G454" i="6"/>
  <c r="H453" i="6"/>
  <c r="G453" i="6"/>
  <c r="H452" i="6"/>
  <c r="G452" i="6"/>
  <c r="H451" i="6"/>
  <c r="G451" i="6"/>
  <c r="H450" i="6"/>
  <c r="G450" i="6"/>
  <c r="H449" i="6"/>
  <c r="G449" i="6"/>
  <c r="H448" i="6"/>
  <c r="G448" i="6"/>
  <c r="H447" i="6"/>
  <c r="G447" i="6"/>
  <c r="H446" i="6"/>
  <c r="G446" i="6"/>
  <c r="H445" i="6"/>
  <c r="G445" i="6"/>
  <c r="H444" i="6"/>
  <c r="G444" i="6"/>
  <c r="H443" i="6"/>
  <c r="G443" i="6"/>
  <c r="H442" i="6"/>
  <c r="G442" i="6"/>
  <c r="H441" i="6"/>
  <c r="G441" i="6"/>
  <c r="H440" i="6"/>
  <c r="G440" i="6"/>
  <c r="H439" i="6"/>
  <c r="G439" i="6"/>
  <c r="H438" i="6"/>
  <c r="G438" i="6"/>
  <c r="H437" i="6"/>
  <c r="G437" i="6"/>
  <c r="H436" i="6"/>
  <c r="G436" i="6"/>
  <c r="H435" i="6"/>
  <c r="G435" i="6"/>
  <c r="H434" i="6"/>
  <c r="G434" i="6"/>
  <c r="H433" i="6"/>
  <c r="G433" i="6"/>
  <c r="H432" i="6"/>
  <c r="G432" i="6"/>
  <c r="H431" i="6"/>
  <c r="G431" i="6"/>
  <c r="H430" i="6"/>
  <c r="G430" i="6"/>
  <c r="H429" i="6"/>
  <c r="G429" i="6"/>
  <c r="H428" i="6"/>
  <c r="G428" i="6"/>
  <c r="H427" i="6"/>
  <c r="G427" i="6"/>
  <c r="H426" i="6"/>
  <c r="G426" i="6"/>
  <c r="H425" i="6"/>
  <c r="G425" i="6"/>
  <c r="H424" i="6"/>
  <c r="G424" i="6"/>
  <c r="H423" i="6"/>
  <c r="G423" i="6"/>
  <c r="H422" i="6"/>
  <c r="G422" i="6"/>
  <c r="H421" i="6"/>
  <c r="G421" i="6"/>
  <c r="H420" i="6"/>
  <c r="G420" i="6"/>
  <c r="H419" i="6"/>
  <c r="G419" i="6"/>
  <c r="H418" i="6"/>
  <c r="G418" i="6"/>
  <c r="H417" i="6"/>
  <c r="G417" i="6"/>
  <c r="H416" i="6"/>
  <c r="G416" i="6"/>
  <c r="H415" i="6"/>
  <c r="G415" i="6"/>
  <c r="H414" i="6"/>
  <c r="G414" i="6"/>
  <c r="H413" i="6"/>
  <c r="G413" i="6"/>
  <c r="H412" i="6"/>
  <c r="G412" i="6"/>
  <c r="H411" i="6"/>
  <c r="G411" i="6"/>
  <c r="H410" i="6"/>
  <c r="G410" i="6"/>
  <c r="H409" i="6"/>
  <c r="G409" i="6"/>
  <c r="H408" i="6"/>
  <c r="G408" i="6"/>
  <c r="H407" i="6"/>
  <c r="G407" i="6"/>
  <c r="H406" i="6"/>
  <c r="G406" i="6"/>
  <c r="H405" i="6"/>
  <c r="G405" i="6"/>
  <c r="H404" i="6"/>
  <c r="G404" i="6"/>
  <c r="H403" i="6"/>
  <c r="G403" i="6"/>
  <c r="H402" i="6"/>
  <c r="G402" i="6"/>
  <c r="H401" i="6"/>
  <c r="G401" i="6"/>
  <c r="H400" i="6"/>
  <c r="G400" i="6"/>
  <c r="H399" i="6"/>
  <c r="G399" i="6"/>
  <c r="H398" i="6"/>
  <c r="G398" i="6"/>
  <c r="H397" i="6"/>
  <c r="G397" i="6"/>
  <c r="H396" i="6"/>
  <c r="G396" i="6"/>
  <c r="H395" i="6"/>
  <c r="G395" i="6"/>
  <c r="H394" i="6"/>
  <c r="G394" i="6"/>
  <c r="H393" i="6"/>
  <c r="G393" i="6"/>
  <c r="H392" i="6"/>
  <c r="G392" i="6"/>
  <c r="H391" i="6"/>
  <c r="G391" i="6"/>
  <c r="H390" i="6"/>
  <c r="G390" i="6"/>
  <c r="H389" i="6"/>
  <c r="G389" i="6"/>
  <c r="H388" i="6"/>
  <c r="G388" i="6"/>
  <c r="H387" i="6"/>
  <c r="G387" i="6"/>
  <c r="H386" i="6"/>
  <c r="G386" i="6"/>
  <c r="H385" i="6"/>
  <c r="G385" i="6"/>
  <c r="H384" i="6"/>
  <c r="G384" i="6"/>
  <c r="H383" i="6"/>
  <c r="G383" i="6"/>
  <c r="H382" i="6"/>
  <c r="G382" i="6"/>
  <c r="H381" i="6"/>
  <c r="G381" i="6"/>
  <c r="H380" i="6"/>
  <c r="G380" i="6"/>
  <c r="H379" i="6"/>
  <c r="G379" i="6"/>
  <c r="H378" i="6"/>
  <c r="G378" i="6"/>
  <c r="H377" i="6"/>
  <c r="G377" i="6"/>
  <c r="H376" i="6"/>
  <c r="G376" i="6"/>
  <c r="H375" i="6"/>
  <c r="G375" i="6"/>
  <c r="H374" i="6"/>
  <c r="G374" i="6"/>
  <c r="H373" i="6"/>
  <c r="G373" i="6"/>
  <c r="H372" i="6"/>
  <c r="G372" i="6"/>
  <c r="H371" i="6"/>
  <c r="G371" i="6"/>
  <c r="H370" i="6"/>
  <c r="G370" i="6"/>
  <c r="H369" i="6"/>
  <c r="G369" i="6"/>
  <c r="H368" i="6"/>
  <c r="G368" i="6"/>
  <c r="H367" i="6"/>
  <c r="G367" i="6"/>
  <c r="H366" i="6"/>
  <c r="G366" i="6"/>
  <c r="H365" i="6"/>
  <c r="G365" i="6"/>
  <c r="H364" i="6"/>
  <c r="G364" i="6"/>
  <c r="H363" i="6"/>
  <c r="G363" i="6"/>
  <c r="H362" i="6"/>
  <c r="G362" i="6"/>
  <c r="H361" i="6"/>
  <c r="G361" i="6"/>
  <c r="H360" i="6"/>
  <c r="G360" i="6"/>
  <c r="H359" i="6"/>
  <c r="G359" i="6"/>
  <c r="H358" i="6"/>
  <c r="G358" i="6"/>
  <c r="H357" i="6"/>
  <c r="G357" i="6"/>
  <c r="H356" i="6"/>
  <c r="G356" i="6"/>
  <c r="H355" i="6"/>
  <c r="G355" i="6"/>
  <c r="H354" i="6"/>
  <c r="G354" i="6"/>
  <c r="H353" i="6"/>
  <c r="G353" i="6"/>
  <c r="H352" i="6"/>
  <c r="G352" i="6"/>
  <c r="H351" i="6"/>
  <c r="G351" i="6"/>
  <c r="H350" i="6"/>
  <c r="G350" i="6"/>
  <c r="H349" i="6"/>
  <c r="G349" i="6"/>
  <c r="H348" i="6"/>
  <c r="G348" i="6"/>
  <c r="H347" i="6"/>
  <c r="G347" i="6"/>
  <c r="H346" i="6"/>
  <c r="G346" i="6"/>
  <c r="H345" i="6"/>
  <c r="G345" i="6"/>
  <c r="H344" i="6"/>
  <c r="G344" i="6"/>
  <c r="H343" i="6"/>
  <c r="G343" i="6"/>
  <c r="H342" i="6"/>
  <c r="G342" i="6"/>
  <c r="H341" i="6"/>
  <c r="G341" i="6"/>
  <c r="H340" i="6"/>
  <c r="G340" i="6"/>
  <c r="H339" i="6"/>
  <c r="G339" i="6"/>
  <c r="H338" i="6"/>
  <c r="G338" i="6"/>
  <c r="H337" i="6"/>
  <c r="G337" i="6"/>
  <c r="H336" i="6"/>
  <c r="G336" i="6"/>
  <c r="H335" i="6"/>
  <c r="G335" i="6"/>
  <c r="H334" i="6"/>
  <c r="G334" i="6"/>
  <c r="H333" i="6"/>
  <c r="G333" i="6"/>
  <c r="H332" i="6"/>
  <c r="G332" i="6"/>
  <c r="H331" i="6"/>
  <c r="G331" i="6"/>
  <c r="H330" i="6"/>
  <c r="G330" i="6"/>
  <c r="H329" i="6"/>
  <c r="G329" i="6"/>
  <c r="H328" i="6"/>
  <c r="G328" i="6"/>
  <c r="H327" i="6"/>
  <c r="G327" i="6"/>
  <c r="H326" i="6"/>
  <c r="G326" i="6"/>
  <c r="H325" i="6"/>
  <c r="G325" i="6"/>
  <c r="H324" i="6"/>
  <c r="G324" i="6"/>
  <c r="H323" i="6"/>
  <c r="G323" i="6"/>
  <c r="H322" i="6"/>
  <c r="G322" i="6"/>
  <c r="H321" i="6"/>
  <c r="G321" i="6"/>
  <c r="H320" i="6"/>
  <c r="G320" i="6"/>
  <c r="H319" i="6"/>
  <c r="G319" i="6"/>
  <c r="H318" i="6"/>
  <c r="G318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H295" i="6"/>
  <c r="G295" i="6"/>
  <c r="H294" i="6"/>
  <c r="G294" i="6"/>
  <c r="H293" i="6"/>
  <c r="G293" i="6"/>
  <c r="H292" i="6"/>
  <c r="G292" i="6"/>
  <c r="H291" i="6"/>
  <c r="G291" i="6"/>
  <c r="H290" i="6"/>
  <c r="G290" i="6"/>
  <c r="H289" i="6"/>
  <c r="G289" i="6"/>
  <c r="H288" i="6"/>
  <c r="G288" i="6"/>
  <c r="H287" i="6"/>
  <c r="G287" i="6"/>
  <c r="H286" i="6"/>
  <c r="G286" i="6"/>
  <c r="H285" i="6"/>
  <c r="G285" i="6"/>
  <c r="H284" i="6"/>
  <c r="G284" i="6"/>
  <c r="H283" i="6"/>
  <c r="G283" i="6"/>
  <c r="H282" i="6"/>
  <c r="G282" i="6"/>
  <c r="H281" i="6"/>
  <c r="G281" i="6"/>
  <c r="H280" i="6"/>
  <c r="G280" i="6"/>
  <c r="H279" i="6"/>
  <c r="G279" i="6"/>
  <c r="H278" i="6"/>
  <c r="G278" i="6"/>
  <c r="H277" i="6"/>
  <c r="G277" i="6"/>
  <c r="H276" i="6"/>
  <c r="G276" i="6"/>
  <c r="H275" i="6"/>
  <c r="G275" i="6"/>
  <c r="H274" i="6"/>
  <c r="G274" i="6"/>
  <c r="H273" i="6"/>
  <c r="G273" i="6"/>
  <c r="H272" i="6"/>
  <c r="G272" i="6"/>
  <c r="H271" i="6"/>
  <c r="G271" i="6"/>
  <c r="H270" i="6"/>
  <c r="G270" i="6"/>
  <c r="H269" i="6"/>
  <c r="G269" i="6"/>
  <c r="H268" i="6"/>
  <c r="G268" i="6"/>
  <c r="H267" i="6"/>
  <c r="G267" i="6"/>
  <c r="H266" i="6"/>
  <c r="G266" i="6"/>
  <c r="H265" i="6"/>
  <c r="G265" i="6"/>
  <c r="H264" i="6"/>
  <c r="G264" i="6"/>
  <c r="H263" i="6"/>
  <c r="G263" i="6"/>
  <c r="H262" i="6"/>
  <c r="G262" i="6"/>
  <c r="H261" i="6"/>
  <c r="G261" i="6"/>
  <c r="H260" i="6"/>
  <c r="G260" i="6"/>
  <c r="H259" i="6"/>
  <c r="G259" i="6"/>
  <c r="H258" i="6"/>
  <c r="G258" i="6"/>
  <c r="H257" i="6"/>
  <c r="G257" i="6"/>
  <c r="H256" i="6"/>
  <c r="G256" i="6"/>
  <c r="H255" i="6"/>
  <c r="G255" i="6"/>
  <c r="H254" i="6"/>
  <c r="G254" i="6"/>
  <c r="H253" i="6"/>
  <c r="G253" i="6"/>
  <c r="I253" i="6" s="1"/>
  <c r="H252" i="6"/>
  <c r="G252" i="6"/>
  <c r="H251" i="6"/>
  <c r="G251" i="6"/>
  <c r="H250" i="6"/>
  <c r="G250" i="6"/>
  <c r="H249" i="6"/>
  <c r="G249" i="6"/>
  <c r="H248" i="6"/>
  <c r="G248" i="6"/>
  <c r="H247" i="6"/>
  <c r="G247" i="6"/>
  <c r="H246" i="6"/>
  <c r="G246" i="6"/>
  <c r="M246" i="6" s="1"/>
  <c r="H245" i="6"/>
  <c r="G245" i="6"/>
  <c r="H244" i="6"/>
  <c r="G244" i="6"/>
  <c r="H243" i="6"/>
  <c r="G243" i="6"/>
  <c r="H242" i="6"/>
  <c r="G242" i="6"/>
  <c r="H241" i="6"/>
  <c r="G241" i="6"/>
  <c r="H240" i="6"/>
  <c r="G240" i="6"/>
  <c r="H239" i="6"/>
  <c r="G239" i="6"/>
  <c r="H238" i="6"/>
  <c r="G238" i="6"/>
  <c r="H237" i="6"/>
  <c r="G237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L211" i="6" s="1"/>
  <c r="H210" i="6"/>
  <c r="G210" i="6"/>
  <c r="H209" i="6"/>
  <c r="G209" i="6"/>
  <c r="H208" i="6"/>
  <c r="G208" i="6"/>
  <c r="H207" i="6"/>
  <c r="G207" i="6"/>
  <c r="H206" i="6"/>
  <c r="G206" i="6"/>
  <c r="H205" i="6"/>
  <c r="G205" i="6"/>
  <c r="H204" i="6"/>
  <c r="G204" i="6"/>
  <c r="H203" i="6"/>
  <c r="G203" i="6"/>
  <c r="H202" i="6"/>
  <c r="G202" i="6"/>
  <c r="H201" i="6"/>
  <c r="G201" i="6"/>
  <c r="H200" i="6"/>
  <c r="G200" i="6"/>
  <c r="H199" i="6"/>
  <c r="G199" i="6"/>
  <c r="I199" i="6" s="1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S135" i="6"/>
  <c r="M152" i="6"/>
  <c r="L152" i="6"/>
  <c r="AA134" i="6"/>
  <c r="L151" i="6"/>
  <c r="AA133" i="6"/>
  <c r="L150" i="6"/>
  <c r="AA132" i="6"/>
  <c r="M148" i="6"/>
  <c r="L148" i="6"/>
  <c r="M147" i="6"/>
  <c r="L147" i="6"/>
  <c r="M137" i="6"/>
  <c r="L137" i="6"/>
  <c r="M136" i="6"/>
  <c r="L136" i="6"/>
  <c r="S126" i="6"/>
  <c r="M135" i="6"/>
  <c r="L135" i="6"/>
  <c r="AA125" i="6"/>
  <c r="M134" i="6"/>
  <c r="L134" i="6"/>
  <c r="AA124" i="6"/>
  <c r="M133" i="6"/>
  <c r="L133" i="6"/>
  <c r="AA123" i="6"/>
  <c r="M132" i="6"/>
  <c r="L132" i="6"/>
  <c r="AA122" i="6"/>
  <c r="L131" i="6"/>
  <c r="S121" i="6"/>
  <c r="AA120" i="6"/>
  <c r="L129" i="6"/>
  <c r="AA119" i="6"/>
  <c r="L128" i="6"/>
  <c r="AA118" i="6"/>
  <c r="L127" i="6"/>
  <c r="AA117" i="6"/>
  <c r="L126" i="6"/>
  <c r="L125" i="6"/>
  <c r="L124" i="6"/>
  <c r="N124" i="6" s="1"/>
  <c r="M113" i="6"/>
  <c r="L113" i="6"/>
  <c r="U111" i="6"/>
  <c r="M112" i="6"/>
  <c r="L112" i="6"/>
  <c r="T110" i="6"/>
  <c r="S110" i="6"/>
  <c r="M111" i="6"/>
  <c r="L111" i="6"/>
  <c r="V109" i="6"/>
  <c r="M110" i="6"/>
  <c r="L110" i="6"/>
  <c r="U108" i="6"/>
  <c r="S108" i="6"/>
  <c r="M109" i="6"/>
  <c r="L109" i="6"/>
  <c r="T107" i="6"/>
  <c r="M108" i="6"/>
  <c r="L108" i="6"/>
  <c r="V106" i="6"/>
  <c r="T106" i="6"/>
  <c r="S106" i="6"/>
  <c r="M107" i="6"/>
  <c r="L107" i="6"/>
  <c r="V105" i="6"/>
  <c r="U105" i="6"/>
  <c r="T105" i="6"/>
  <c r="S105" i="6"/>
  <c r="L105" i="6"/>
  <c r="M104" i="6"/>
  <c r="L104" i="6"/>
  <c r="M103" i="6"/>
  <c r="L103" i="6"/>
  <c r="Y101" i="6"/>
  <c r="X101" i="6"/>
  <c r="W101" i="6"/>
  <c r="V101" i="6"/>
  <c r="U101" i="6"/>
  <c r="T101" i="6"/>
  <c r="S101" i="6"/>
  <c r="M102" i="6"/>
  <c r="L102" i="6"/>
  <c r="Y100" i="6"/>
  <c r="X100" i="6"/>
  <c r="W100" i="6"/>
  <c r="V100" i="6"/>
  <c r="U100" i="6"/>
  <c r="T100" i="6"/>
  <c r="S100" i="6"/>
  <c r="M101" i="6"/>
  <c r="L101" i="6"/>
  <c r="Y99" i="6"/>
  <c r="X99" i="6"/>
  <c r="W99" i="6"/>
  <c r="V99" i="6"/>
  <c r="U99" i="6"/>
  <c r="T99" i="6"/>
  <c r="S99" i="6"/>
  <c r="M100" i="6"/>
  <c r="L100" i="6"/>
  <c r="Y98" i="6"/>
  <c r="X98" i="6"/>
  <c r="W98" i="6"/>
  <c r="V98" i="6"/>
  <c r="U98" i="6"/>
  <c r="T98" i="6"/>
  <c r="S98" i="6"/>
  <c r="M99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AX50" i="6"/>
  <c r="P14" i="4"/>
  <c r="P16" i="4"/>
  <c r="R15" i="4" s="1"/>
  <c r="S15" i="4" s="1"/>
  <c r="P17" i="4"/>
  <c r="L124" i="4"/>
  <c r="M124" i="4"/>
  <c r="L125" i="4"/>
  <c r="M125" i="4"/>
  <c r="L126" i="4"/>
  <c r="M126" i="4"/>
  <c r="L127" i="4"/>
  <c r="M127" i="4"/>
  <c r="L128" i="4"/>
  <c r="M128" i="4"/>
  <c r="L129" i="4"/>
  <c r="M129" i="4"/>
  <c r="L123" i="4"/>
  <c r="M123" i="4"/>
  <c r="L116" i="4"/>
  <c r="M116" i="4"/>
  <c r="L117" i="4"/>
  <c r="M117" i="4"/>
  <c r="L118" i="4"/>
  <c r="M118" i="4"/>
  <c r="L119" i="4"/>
  <c r="M119" i="4"/>
  <c r="L120" i="4"/>
  <c r="M120" i="4"/>
  <c r="L121" i="4"/>
  <c r="M121" i="4"/>
  <c r="L115" i="4"/>
  <c r="L92" i="4"/>
  <c r="M92" i="4"/>
  <c r="N92" i="4" s="1"/>
  <c r="L93" i="4"/>
  <c r="M93" i="4"/>
  <c r="L94" i="4"/>
  <c r="M94" i="4"/>
  <c r="L95" i="4"/>
  <c r="N95" i="4" s="1"/>
  <c r="N96" i="4" s="1"/>
  <c r="M95" i="4"/>
  <c r="L96" i="4"/>
  <c r="M96" i="4"/>
  <c r="L97" i="4"/>
  <c r="M97" i="4"/>
  <c r="L91" i="4"/>
  <c r="M91" i="4"/>
  <c r="M139" i="4"/>
  <c r="L139" i="4"/>
  <c r="L140" i="4"/>
  <c r="M140" i="4"/>
  <c r="M115" i="4"/>
  <c r="N118" i="4"/>
  <c r="L109" i="4"/>
  <c r="M109" i="4"/>
  <c r="L110" i="4"/>
  <c r="M110" i="4"/>
  <c r="L111" i="4"/>
  <c r="M111" i="4"/>
  <c r="L112" i="4"/>
  <c r="M112" i="4"/>
  <c r="L100" i="4"/>
  <c r="N100" i="4" s="1"/>
  <c r="M100" i="4"/>
  <c r="L101" i="4"/>
  <c r="M101" i="4"/>
  <c r="L102" i="4"/>
  <c r="M102" i="4"/>
  <c r="L103" i="4"/>
  <c r="M103" i="4"/>
  <c r="L104" i="4"/>
  <c r="M104" i="4"/>
  <c r="L105" i="4"/>
  <c r="M99" i="4"/>
  <c r="L99" i="4"/>
  <c r="O70" i="4" a="1"/>
  <c r="L142" i="4"/>
  <c r="M144" i="4"/>
  <c r="L144" i="4"/>
  <c r="L143" i="4"/>
  <c r="AC28" i="4"/>
  <c r="L113" i="4"/>
  <c r="M113" i="4"/>
  <c r="L107" i="4"/>
  <c r="M107" i="4"/>
  <c r="L108" i="4"/>
  <c r="N108" i="4" s="1"/>
  <c r="M108" i="4"/>
  <c r="M66" i="4" a="1"/>
  <c r="M66" i="4" s="1"/>
  <c r="E34" i="4"/>
  <c r="E28" i="4"/>
  <c r="E29" i="4"/>
  <c r="E30" i="4"/>
  <c r="E31" i="4"/>
  <c r="E32" i="4"/>
  <c r="E33" i="4"/>
  <c r="E27" i="4"/>
  <c r="L34" i="4"/>
  <c r="L33" i="4"/>
  <c r="L32" i="4"/>
  <c r="L31" i="4"/>
  <c r="L30" i="4"/>
  <c r="L29" i="4"/>
  <c r="L28" i="4"/>
  <c r="L27" i="4"/>
  <c r="AP33" i="4"/>
  <c r="AP32" i="4"/>
  <c r="AP31" i="4"/>
  <c r="AP30" i="4"/>
  <c r="AP29" i="4"/>
  <c r="AP28" i="4"/>
  <c r="AP27" i="4"/>
  <c r="AC34" i="4"/>
  <c r="AC33" i="4"/>
  <c r="AO17" i="4" s="1"/>
  <c r="AP17" i="4" s="1"/>
  <c r="E12" i="7" s="1"/>
  <c r="AC32" i="4"/>
  <c r="AC31" i="4"/>
  <c r="AC30" i="4"/>
  <c r="AC29" i="4"/>
  <c r="AC27" i="4"/>
  <c r="T27" i="4"/>
  <c r="AP34" i="4"/>
  <c r="AK61" i="4" a="1"/>
  <c r="AK61" i="4" s="1"/>
  <c r="AK68" i="4" s="1"/>
  <c r="T32" i="4"/>
  <c r="T28" i="4"/>
  <c r="T29" i="4"/>
  <c r="T30" i="4"/>
  <c r="T31" i="4"/>
  <c r="T34" i="4"/>
  <c r="M75" i="4"/>
  <c r="AA74" i="4" s="1"/>
  <c r="M74" i="4"/>
  <c r="AA73" i="4" s="1"/>
  <c r="AA125" i="4"/>
  <c r="AA124" i="4"/>
  <c r="AA123" i="4"/>
  <c r="AA122" i="4"/>
  <c r="S126" i="4"/>
  <c r="T110" i="4"/>
  <c r="T107" i="4"/>
  <c r="T106" i="4"/>
  <c r="T105" i="4"/>
  <c r="H510" i="4"/>
  <c r="G510" i="4"/>
  <c r="J510" i="4" s="1"/>
  <c r="H509" i="4"/>
  <c r="G509" i="4"/>
  <c r="J509" i="4" s="1"/>
  <c r="H508" i="4"/>
  <c r="G508" i="4"/>
  <c r="J508" i="4" s="1"/>
  <c r="H507" i="4"/>
  <c r="G507" i="4"/>
  <c r="J507" i="4" s="1"/>
  <c r="H506" i="4"/>
  <c r="G506" i="4"/>
  <c r="J506" i="4" s="1"/>
  <c r="H505" i="4"/>
  <c r="G505" i="4"/>
  <c r="J505" i="4" s="1"/>
  <c r="H504" i="4"/>
  <c r="G504" i="4"/>
  <c r="J504" i="4" s="1"/>
  <c r="H503" i="4"/>
  <c r="G503" i="4"/>
  <c r="J503" i="4" s="1"/>
  <c r="H502" i="4"/>
  <c r="G502" i="4"/>
  <c r="J502" i="4" s="1"/>
  <c r="H501" i="4"/>
  <c r="G501" i="4"/>
  <c r="J501" i="4" s="1"/>
  <c r="H500" i="4"/>
  <c r="G500" i="4"/>
  <c r="J500" i="4" s="1"/>
  <c r="H499" i="4"/>
  <c r="G499" i="4"/>
  <c r="J499" i="4" s="1"/>
  <c r="H498" i="4"/>
  <c r="G498" i="4"/>
  <c r="J498" i="4" s="1"/>
  <c r="H497" i="4"/>
  <c r="G497" i="4"/>
  <c r="J497" i="4" s="1"/>
  <c r="H496" i="4"/>
  <c r="G496" i="4"/>
  <c r="J496" i="4" s="1"/>
  <c r="H495" i="4"/>
  <c r="G495" i="4"/>
  <c r="J495" i="4" s="1"/>
  <c r="H494" i="4"/>
  <c r="G494" i="4"/>
  <c r="J494" i="4" s="1"/>
  <c r="H493" i="4"/>
  <c r="G493" i="4"/>
  <c r="J493" i="4" s="1"/>
  <c r="H492" i="4"/>
  <c r="G492" i="4"/>
  <c r="J492" i="4" s="1"/>
  <c r="H491" i="4"/>
  <c r="G491" i="4"/>
  <c r="J491" i="4" s="1"/>
  <c r="H490" i="4"/>
  <c r="G490" i="4"/>
  <c r="J490" i="4" s="1"/>
  <c r="H489" i="4"/>
  <c r="G489" i="4"/>
  <c r="J489" i="4" s="1"/>
  <c r="H488" i="4"/>
  <c r="G488" i="4"/>
  <c r="J488" i="4" s="1"/>
  <c r="H487" i="4"/>
  <c r="G487" i="4"/>
  <c r="J487" i="4" s="1"/>
  <c r="H486" i="4"/>
  <c r="G486" i="4"/>
  <c r="J486" i="4" s="1"/>
  <c r="H485" i="4"/>
  <c r="G485" i="4"/>
  <c r="J485" i="4" s="1"/>
  <c r="H484" i="4"/>
  <c r="G484" i="4"/>
  <c r="J484" i="4" s="1"/>
  <c r="H483" i="4"/>
  <c r="G483" i="4"/>
  <c r="J483" i="4" s="1"/>
  <c r="H482" i="4"/>
  <c r="G482" i="4"/>
  <c r="J482" i="4" s="1"/>
  <c r="H481" i="4"/>
  <c r="G481" i="4"/>
  <c r="H480" i="4"/>
  <c r="G480" i="4"/>
  <c r="J480" i="4" s="1"/>
  <c r="H479" i="4"/>
  <c r="G479" i="4"/>
  <c r="J479" i="4" s="1"/>
  <c r="H478" i="4"/>
  <c r="G478" i="4"/>
  <c r="J478" i="4" s="1"/>
  <c r="H477" i="4"/>
  <c r="G477" i="4"/>
  <c r="J477" i="4" s="1"/>
  <c r="H476" i="4"/>
  <c r="G476" i="4"/>
  <c r="J476" i="4" s="1"/>
  <c r="H475" i="4"/>
  <c r="G475" i="4"/>
  <c r="J475" i="4" s="1"/>
  <c r="H474" i="4"/>
  <c r="G474" i="4"/>
  <c r="J474" i="4" s="1"/>
  <c r="H473" i="4"/>
  <c r="G473" i="4"/>
  <c r="J473" i="4" s="1"/>
  <c r="H472" i="4"/>
  <c r="G472" i="4"/>
  <c r="J472" i="4" s="1"/>
  <c r="H471" i="4"/>
  <c r="G471" i="4"/>
  <c r="J471" i="4" s="1"/>
  <c r="H470" i="4"/>
  <c r="G470" i="4"/>
  <c r="H469" i="4"/>
  <c r="G469" i="4"/>
  <c r="J469" i="4" s="1"/>
  <c r="H468" i="4"/>
  <c r="G468" i="4"/>
  <c r="J468" i="4" s="1"/>
  <c r="H467" i="4"/>
  <c r="G467" i="4"/>
  <c r="J467" i="4" s="1"/>
  <c r="H466" i="4"/>
  <c r="G466" i="4"/>
  <c r="J466" i="4" s="1"/>
  <c r="H465" i="4"/>
  <c r="G465" i="4"/>
  <c r="J465" i="4" s="1"/>
  <c r="H464" i="4"/>
  <c r="G464" i="4"/>
  <c r="J464" i="4" s="1"/>
  <c r="H463" i="4"/>
  <c r="G463" i="4"/>
  <c r="J463" i="4" s="1"/>
  <c r="H462" i="4"/>
  <c r="G462" i="4"/>
  <c r="J462" i="4" s="1"/>
  <c r="H461" i="4"/>
  <c r="G461" i="4"/>
  <c r="J461" i="4" s="1"/>
  <c r="H460" i="4"/>
  <c r="G460" i="4"/>
  <c r="J460" i="4" s="1"/>
  <c r="H459" i="4"/>
  <c r="G459" i="4"/>
  <c r="J459" i="4" s="1"/>
  <c r="H458" i="4"/>
  <c r="G458" i="4"/>
  <c r="J458" i="4" s="1"/>
  <c r="H457" i="4"/>
  <c r="G457" i="4"/>
  <c r="J457" i="4" s="1"/>
  <c r="H456" i="4"/>
  <c r="G456" i="4"/>
  <c r="J456" i="4" s="1"/>
  <c r="H455" i="4"/>
  <c r="G455" i="4"/>
  <c r="J455" i="4" s="1"/>
  <c r="H454" i="4"/>
  <c r="G454" i="4"/>
  <c r="J454" i="4" s="1"/>
  <c r="H453" i="4"/>
  <c r="G453" i="4"/>
  <c r="J453" i="4" s="1"/>
  <c r="H452" i="4"/>
  <c r="G452" i="4"/>
  <c r="J452" i="4" s="1"/>
  <c r="H451" i="4"/>
  <c r="G451" i="4"/>
  <c r="J451" i="4" s="1"/>
  <c r="H450" i="4"/>
  <c r="G450" i="4"/>
  <c r="J450" i="4" s="1"/>
  <c r="H449" i="4"/>
  <c r="G449" i="4"/>
  <c r="J449" i="4" s="1"/>
  <c r="H448" i="4"/>
  <c r="G448" i="4"/>
  <c r="J448" i="4" s="1"/>
  <c r="H447" i="4"/>
  <c r="G447" i="4"/>
  <c r="J447" i="4" s="1"/>
  <c r="H446" i="4"/>
  <c r="G446" i="4"/>
  <c r="J446" i="4" s="1"/>
  <c r="H445" i="4"/>
  <c r="G445" i="4"/>
  <c r="J445" i="4" s="1"/>
  <c r="H444" i="4"/>
  <c r="G444" i="4"/>
  <c r="J444" i="4" s="1"/>
  <c r="H443" i="4"/>
  <c r="G443" i="4"/>
  <c r="J443" i="4" s="1"/>
  <c r="H442" i="4"/>
  <c r="G442" i="4"/>
  <c r="J442" i="4" s="1"/>
  <c r="H441" i="4"/>
  <c r="G441" i="4"/>
  <c r="H440" i="4"/>
  <c r="G440" i="4"/>
  <c r="J440" i="4" s="1"/>
  <c r="H439" i="4"/>
  <c r="G439" i="4"/>
  <c r="J439" i="4" s="1"/>
  <c r="H438" i="4"/>
  <c r="G438" i="4"/>
  <c r="J438" i="4" s="1"/>
  <c r="H437" i="4"/>
  <c r="G437" i="4"/>
  <c r="J437" i="4" s="1"/>
  <c r="H436" i="4"/>
  <c r="G436" i="4"/>
  <c r="J436" i="4" s="1"/>
  <c r="H435" i="4"/>
  <c r="G435" i="4"/>
  <c r="J435" i="4" s="1"/>
  <c r="H434" i="4"/>
  <c r="G434" i="4"/>
  <c r="J434" i="4" s="1"/>
  <c r="H433" i="4"/>
  <c r="G433" i="4"/>
  <c r="J433" i="4" s="1"/>
  <c r="H432" i="4"/>
  <c r="G432" i="4"/>
  <c r="J432" i="4" s="1"/>
  <c r="H431" i="4"/>
  <c r="G431" i="4"/>
  <c r="J431" i="4" s="1"/>
  <c r="H430" i="4"/>
  <c r="G430" i="4"/>
  <c r="J430" i="4" s="1"/>
  <c r="H429" i="4"/>
  <c r="G429" i="4"/>
  <c r="J429" i="4" s="1"/>
  <c r="H428" i="4"/>
  <c r="G428" i="4"/>
  <c r="J428" i="4" s="1"/>
  <c r="H427" i="4"/>
  <c r="G427" i="4"/>
  <c r="J427" i="4" s="1"/>
  <c r="H426" i="4"/>
  <c r="G426" i="4"/>
  <c r="J426" i="4" s="1"/>
  <c r="H425" i="4"/>
  <c r="G425" i="4"/>
  <c r="J425" i="4" s="1"/>
  <c r="H424" i="4"/>
  <c r="G424" i="4"/>
  <c r="J424" i="4" s="1"/>
  <c r="H423" i="4"/>
  <c r="G423" i="4"/>
  <c r="J423" i="4" s="1"/>
  <c r="H422" i="4"/>
  <c r="G422" i="4"/>
  <c r="J422" i="4" s="1"/>
  <c r="H421" i="4"/>
  <c r="G421" i="4"/>
  <c r="J421" i="4" s="1"/>
  <c r="H420" i="4"/>
  <c r="G420" i="4"/>
  <c r="J420" i="4" s="1"/>
  <c r="H419" i="4"/>
  <c r="G419" i="4"/>
  <c r="J419" i="4" s="1"/>
  <c r="H418" i="4"/>
  <c r="G418" i="4"/>
  <c r="J418" i="4" s="1"/>
  <c r="H417" i="4"/>
  <c r="G417" i="4"/>
  <c r="J417" i="4" s="1"/>
  <c r="H416" i="4"/>
  <c r="G416" i="4"/>
  <c r="J416" i="4" s="1"/>
  <c r="H415" i="4"/>
  <c r="G415" i="4"/>
  <c r="J415" i="4" s="1"/>
  <c r="H414" i="4"/>
  <c r="G414" i="4"/>
  <c r="J414" i="4" s="1"/>
  <c r="H413" i="4"/>
  <c r="G413" i="4"/>
  <c r="J413" i="4" s="1"/>
  <c r="H412" i="4"/>
  <c r="G412" i="4"/>
  <c r="J412" i="4" s="1"/>
  <c r="H411" i="4"/>
  <c r="G411" i="4"/>
  <c r="J411" i="4" s="1"/>
  <c r="H410" i="4"/>
  <c r="G410" i="4"/>
  <c r="J410" i="4" s="1"/>
  <c r="H409" i="4"/>
  <c r="G409" i="4"/>
  <c r="J409" i="4" s="1"/>
  <c r="H408" i="4"/>
  <c r="G408" i="4"/>
  <c r="J408" i="4" s="1"/>
  <c r="H407" i="4"/>
  <c r="G407" i="4"/>
  <c r="J407" i="4" s="1"/>
  <c r="H406" i="4"/>
  <c r="G406" i="4"/>
  <c r="J406" i="4" s="1"/>
  <c r="H405" i="4"/>
  <c r="G405" i="4"/>
  <c r="J405" i="4" s="1"/>
  <c r="H404" i="4"/>
  <c r="G404" i="4"/>
  <c r="J404" i="4" s="1"/>
  <c r="H403" i="4"/>
  <c r="G403" i="4"/>
  <c r="J403" i="4" s="1"/>
  <c r="H402" i="4"/>
  <c r="G402" i="4"/>
  <c r="J402" i="4" s="1"/>
  <c r="H401" i="4"/>
  <c r="G401" i="4"/>
  <c r="J401" i="4" s="1"/>
  <c r="H400" i="4"/>
  <c r="G400" i="4"/>
  <c r="J400" i="4" s="1"/>
  <c r="H399" i="4"/>
  <c r="G399" i="4"/>
  <c r="J399" i="4" s="1"/>
  <c r="H398" i="4"/>
  <c r="G398" i="4"/>
  <c r="J398" i="4" s="1"/>
  <c r="H397" i="4"/>
  <c r="G397" i="4"/>
  <c r="J397" i="4" s="1"/>
  <c r="H396" i="4"/>
  <c r="G396" i="4"/>
  <c r="J396" i="4" s="1"/>
  <c r="H395" i="4"/>
  <c r="G395" i="4"/>
  <c r="J395" i="4" s="1"/>
  <c r="H394" i="4"/>
  <c r="G394" i="4"/>
  <c r="J394" i="4" s="1"/>
  <c r="H393" i="4"/>
  <c r="G393" i="4"/>
  <c r="J393" i="4" s="1"/>
  <c r="H392" i="4"/>
  <c r="G392" i="4"/>
  <c r="J392" i="4" s="1"/>
  <c r="H391" i="4"/>
  <c r="G391" i="4"/>
  <c r="J391" i="4" s="1"/>
  <c r="H390" i="4"/>
  <c r="G390" i="4"/>
  <c r="J390" i="4" s="1"/>
  <c r="H389" i="4"/>
  <c r="G389" i="4"/>
  <c r="J389" i="4" s="1"/>
  <c r="H388" i="4"/>
  <c r="G388" i="4"/>
  <c r="J388" i="4" s="1"/>
  <c r="H387" i="4"/>
  <c r="G387" i="4"/>
  <c r="J387" i="4" s="1"/>
  <c r="H386" i="4"/>
  <c r="G386" i="4"/>
  <c r="J386" i="4" s="1"/>
  <c r="H385" i="4"/>
  <c r="G385" i="4"/>
  <c r="J385" i="4" s="1"/>
  <c r="H384" i="4"/>
  <c r="G384" i="4"/>
  <c r="J384" i="4" s="1"/>
  <c r="H383" i="4"/>
  <c r="G383" i="4"/>
  <c r="J383" i="4" s="1"/>
  <c r="H382" i="4"/>
  <c r="G382" i="4"/>
  <c r="J382" i="4" s="1"/>
  <c r="H381" i="4"/>
  <c r="G381" i="4"/>
  <c r="J381" i="4" s="1"/>
  <c r="H380" i="4"/>
  <c r="G380" i="4"/>
  <c r="J380" i="4" s="1"/>
  <c r="H379" i="4"/>
  <c r="G379" i="4"/>
  <c r="J379" i="4" s="1"/>
  <c r="H378" i="4"/>
  <c r="G378" i="4"/>
  <c r="J378" i="4" s="1"/>
  <c r="H377" i="4"/>
  <c r="G377" i="4"/>
  <c r="J377" i="4" s="1"/>
  <c r="H376" i="4"/>
  <c r="G376" i="4"/>
  <c r="J376" i="4" s="1"/>
  <c r="H375" i="4"/>
  <c r="G375" i="4"/>
  <c r="J375" i="4" s="1"/>
  <c r="H374" i="4"/>
  <c r="G374" i="4"/>
  <c r="J374" i="4" s="1"/>
  <c r="H373" i="4"/>
  <c r="G373" i="4"/>
  <c r="J373" i="4" s="1"/>
  <c r="H372" i="4"/>
  <c r="G372" i="4"/>
  <c r="J372" i="4" s="1"/>
  <c r="H371" i="4"/>
  <c r="G371" i="4"/>
  <c r="J371" i="4" s="1"/>
  <c r="H370" i="4"/>
  <c r="G370" i="4"/>
  <c r="J370" i="4" s="1"/>
  <c r="H369" i="4"/>
  <c r="G369" i="4"/>
  <c r="J369" i="4" s="1"/>
  <c r="H368" i="4"/>
  <c r="G368" i="4"/>
  <c r="J368" i="4" s="1"/>
  <c r="H367" i="4"/>
  <c r="G367" i="4"/>
  <c r="J367" i="4" s="1"/>
  <c r="H366" i="4"/>
  <c r="G366" i="4"/>
  <c r="J366" i="4" s="1"/>
  <c r="H365" i="4"/>
  <c r="G365" i="4"/>
  <c r="J365" i="4" s="1"/>
  <c r="H364" i="4"/>
  <c r="G364" i="4"/>
  <c r="J364" i="4" s="1"/>
  <c r="H363" i="4"/>
  <c r="G363" i="4"/>
  <c r="J363" i="4" s="1"/>
  <c r="H362" i="4"/>
  <c r="G362" i="4"/>
  <c r="J362" i="4" s="1"/>
  <c r="H361" i="4"/>
  <c r="G361" i="4"/>
  <c r="J361" i="4" s="1"/>
  <c r="H360" i="4"/>
  <c r="G360" i="4"/>
  <c r="J360" i="4" s="1"/>
  <c r="H359" i="4"/>
  <c r="G359" i="4"/>
  <c r="J359" i="4" s="1"/>
  <c r="H358" i="4"/>
  <c r="G358" i="4"/>
  <c r="J358" i="4" s="1"/>
  <c r="H357" i="4"/>
  <c r="G357" i="4"/>
  <c r="J357" i="4" s="1"/>
  <c r="H356" i="4"/>
  <c r="G356" i="4"/>
  <c r="J356" i="4" s="1"/>
  <c r="H355" i="4"/>
  <c r="G355" i="4"/>
  <c r="J355" i="4" s="1"/>
  <c r="H354" i="4"/>
  <c r="G354" i="4"/>
  <c r="J354" i="4" s="1"/>
  <c r="H353" i="4"/>
  <c r="G353" i="4"/>
  <c r="J353" i="4" s="1"/>
  <c r="H352" i="4"/>
  <c r="G352" i="4"/>
  <c r="J352" i="4" s="1"/>
  <c r="H351" i="4"/>
  <c r="G351" i="4"/>
  <c r="J351" i="4" s="1"/>
  <c r="H350" i="4"/>
  <c r="G350" i="4"/>
  <c r="J350" i="4" s="1"/>
  <c r="H349" i="4"/>
  <c r="G349" i="4"/>
  <c r="J349" i="4" s="1"/>
  <c r="H348" i="4"/>
  <c r="G348" i="4"/>
  <c r="J348" i="4" s="1"/>
  <c r="H347" i="4"/>
  <c r="G347" i="4"/>
  <c r="J347" i="4" s="1"/>
  <c r="H346" i="4"/>
  <c r="G346" i="4"/>
  <c r="J346" i="4" s="1"/>
  <c r="H345" i="4"/>
  <c r="G345" i="4"/>
  <c r="J345" i="4" s="1"/>
  <c r="H344" i="4"/>
  <c r="G344" i="4"/>
  <c r="J344" i="4" s="1"/>
  <c r="H343" i="4"/>
  <c r="G343" i="4"/>
  <c r="J343" i="4" s="1"/>
  <c r="H342" i="4"/>
  <c r="G342" i="4"/>
  <c r="J342" i="4" s="1"/>
  <c r="H341" i="4"/>
  <c r="G341" i="4"/>
  <c r="J341" i="4" s="1"/>
  <c r="H340" i="4"/>
  <c r="G340" i="4"/>
  <c r="J340" i="4" s="1"/>
  <c r="H339" i="4"/>
  <c r="G339" i="4"/>
  <c r="J339" i="4" s="1"/>
  <c r="H338" i="4"/>
  <c r="G338" i="4"/>
  <c r="J338" i="4" s="1"/>
  <c r="H337" i="4"/>
  <c r="G337" i="4"/>
  <c r="J337" i="4" s="1"/>
  <c r="H336" i="4"/>
  <c r="G336" i="4"/>
  <c r="J336" i="4" s="1"/>
  <c r="H335" i="4"/>
  <c r="G335" i="4"/>
  <c r="J335" i="4" s="1"/>
  <c r="H334" i="4"/>
  <c r="G334" i="4"/>
  <c r="J334" i="4" s="1"/>
  <c r="H333" i="4"/>
  <c r="G333" i="4"/>
  <c r="J333" i="4" s="1"/>
  <c r="H332" i="4"/>
  <c r="G332" i="4"/>
  <c r="J332" i="4" s="1"/>
  <c r="H331" i="4"/>
  <c r="G331" i="4"/>
  <c r="J331" i="4" s="1"/>
  <c r="H330" i="4"/>
  <c r="G330" i="4"/>
  <c r="J330" i="4" s="1"/>
  <c r="H329" i="4"/>
  <c r="G329" i="4"/>
  <c r="J329" i="4" s="1"/>
  <c r="H328" i="4"/>
  <c r="G328" i="4"/>
  <c r="J328" i="4" s="1"/>
  <c r="H327" i="4"/>
  <c r="G327" i="4"/>
  <c r="J327" i="4" s="1"/>
  <c r="H326" i="4"/>
  <c r="G326" i="4"/>
  <c r="J326" i="4" s="1"/>
  <c r="H325" i="4"/>
  <c r="G325" i="4"/>
  <c r="J325" i="4" s="1"/>
  <c r="H324" i="4"/>
  <c r="G324" i="4"/>
  <c r="J324" i="4" s="1"/>
  <c r="H323" i="4"/>
  <c r="G323" i="4"/>
  <c r="J323" i="4" s="1"/>
  <c r="H322" i="4"/>
  <c r="G322" i="4"/>
  <c r="J322" i="4" s="1"/>
  <c r="H321" i="4"/>
  <c r="G321" i="4"/>
  <c r="J321" i="4" s="1"/>
  <c r="H320" i="4"/>
  <c r="G320" i="4"/>
  <c r="J320" i="4" s="1"/>
  <c r="H319" i="4"/>
  <c r="G319" i="4"/>
  <c r="J319" i="4" s="1"/>
  <c r="H318" i="4"/>
  <c r="G318" i="4"/>
  <c r="J318" i="4" s="1"/>
  <c r="H317" i="4"/>
  <c r="G317" i="4"/>
  <c r="J317" i="4" s="1"/>
  <c r="H316" i="4"/>
  <c r="G316" i="4"/>
  <c r="J316" i="4" s="1"/>
  <c r="H315" i="4"/>
  <c r="G315" i="4"/>
  <c r="J315" i="4" s="1"/>
  <c r="H314" i="4"/>
  <c r="G314" i="4"/>
  <c r="J314" i="4" s="1"/>
  <c r="H313" i="4"/>
  <c r="G313" i="4"/>
  <c r="J313" i="4" s="1"/>
  <c r="H312" i="4"/>
  <c r="G312" i="4"/>
  <c r="J312" i="4" s="1"/>
  <c r="H311" i="4"/>
  <c r="G311" i="4"/>
  <c r="J311" i="4" s="1"/>
  <c r="H310" i="4"/>
  <c r="G310" i="4"/>
  <c r="J310" i="4" s="1"/>
  <c r="H309" i="4"/>
  <c r="G309" i="4"/>
  <c r="J309" i="4" s="1"/>
  <c r="H308" i="4"/>
  <c r="G308" i="4"/>
  <c r="J308" i="4" s="1"/>
  <c r="H307" i="4"/>
  <c r="G307" i="4"/>
  <c r="J307" i="4" s="1"/>
  <c r="H306" i="4"/>
  <c r="G306" i="4"/>
  <c r="J306" i="4" s="1"/>
  <c r="H305" i="4"/>
  <c r="G305" i="4"/>
  <c r="J305" i="4" s="1"/>
  <c r="H304" i="4"/>
  <c r="G304" i="4"/>
  <c r="J304" i="4" s="1"/>
  <c r="H303" i="4"/>
  <c r="G303" i="4"/>
  <c r="J303" i="4" s="1"/>
  <c r="H302" i="4"/>
  <c r="G302" i="4"/>
  <c r="J302" i="4" s="1"/>
  <c r="H301" i="4"/>
  <c r="G301" i="4"/>
  <c r="J301" i="4" s="1"/>
  <c r="H300" i="4"/>
  <c r="G300" i="4"/>
  <c r="J300" i="4" s="1"/>
  <c r="H299" i="4"/>
  <c r="G299" i="4"/>
  <c r="J299" i="4" s="1"/>
  <c r="H298" i="4"/>
  <c r="G298" i="4"/>
  <c r="J298" i="4" s="1"/>
  <c r="H297" i="4"/>
  <c r="G297" i="4"/>
  <c r="J297" i="4" s="1"/>
  <c r="H296" i="4"/>
  <c r="G296" i="4"/>
  <c r="J296" i="4" s="1"/>
  <c r="H295" i="4"/>
  <c r="G295" i="4"/>
  <c r="J295" i="4" s="1"/>
  <c r="H294" i="4"/>
  <c r="G294" i="4"/>
  <c r="J294" i="4" s="1"/>
  <c r="H293" i="4"/>
  <c r="G293" i="4"/>
  <c r="J293" i="4" s="1"/>
  <c r="H292" i="4"/>
  <c r="G292" i="4"/>
  <c r="J292" i="4" s="1"/>
  <c r="H291" i="4"/>
  <c r="G291" i="4"/>
  <c r="J291" i="4" s="1"/>
  <c r="H290" i="4"/>
  <c r="G290" i="4"/>
  <c r="J290" i="4" s="1"/>
  <c r="H289" i="4"/>
  <c r="G289" i="4"/>
  <c r="J289" i="4" s="1"/>
  <c r="H288" i="4"/>
  <c r="G288" i="4"/>
  <c r="J288" i="4" s="1"/>
  <c r="H287" i="4"/>
  <c r="G287" i="4"/>
  <c r="J287" i="4" s="1"/>
  <c r="H286" i="4"/>
  <c r="G286" i="4"/>
  <c r="J286" i="4" s="1"/>
  <c r="H285" i="4"/>
  <c r="G285" i="4"/>
  <c r="J285" i="4" s="1"/>
  <c r="H284" i="4"/>
  <c r="G284" i="4"/>
  <c r="J284" i="4" s="1"/>
  <c r="H283" i="4"/>
  <c r="G283" i="4"/>
  <c r="J283" i="4" s="1"/>
  <c r="H282" i="4"/>
  <c r="G282" i="4"/>
  <c r="J282" i="4" s="1"/>
  <c r="H281" i="4"/>
  <c r="G281" i="4"/>
  <c r="J281" i="4" s="1"/>
  <c r="H280" i="4"/>
  <c r="G280" i="4"/>
  <c r="J280" i="4" s="1"/>
  <c r="H279" i="4"/>
  <c r="G279" i="4"/>
  <c r="J279" i="4" s="1"/>
  <c r="H278" i="4"/>
  <c r="G278" i="4"/>
  <c r="J278" i="4" s="1"/>
  <c r="H277" i="4"/>
  <c r="G277" i="4"/>
  <c r="J277" i="4" s="1"/>
  <c r="H276" i="4"/>
  <c r="G276" i="4"/>
  <c r="J276" i="4" s="1"/>
  <c r="H275" i="4"/>
  <c r="G275" i="4"/>
  <c r="J275" i="4" s="1"/>
  <c r="H274" i="4"/>
  <c r="G274" i="4"/>
  <c r="J274" i="4" s="1"/>
  <c r="H273" i="4"/>
  <c r="G273" i="4"/>
  <c r="H272" i="4"/>
  <c r="G272" i="4"/>
  <c r="J272" i="4" s="1"/>
  <c r="H271" i="4"/>
  <c r="G271" i="4"/>
  <c r="J271" i="4" s="1"/>
  <c r="H270" i="4"/>
  <c r="G270" i="4"/>
  <c r="J270" i="4" s="1"/>
  <c r="H269" i="4"/>
  <c r="G269" i="4"/>
  <c r="J269" i="4" s="1"/>
  <c r="H268" i="4"/>
  <c r="G268" i="4"/>
  <c r="H267" i="4"/>
  <c r="G267" i="4"/>
  <c r="J267" i="4" s="1"/>
  <c r="H266" i="4"/>
  <c r="G266" i="4"/>
  <c r="J266" i="4" s="1"/>
  <c r="H265" i="4"/>
  <c r="G265" i="4"/>
  <c r="J265" i="4" s="1"/>
  <c r="H264" i="4"/>
  <c r="G264" i="4"/>
  <c r="J264" i="4" s="1"/>
  <c r="H263" i="4"/>
  <c r="G263" i="4"/>
  <c r="J263" i="4" s="1"/>
  <c r="H262" i="4"/>
  <c r="G262" i="4"/>
  <c r="J262" i="4" s="1"/>
  <c r="H261" i="4"/>
  <c r="G261" i="4"/>
  <c r="J261" i="4" s="1"/>
  <c r="H260" i="4"/>
  <c r="G260" i="4"/>
  <c r="J260" i="4" s="1"/>
  <c r="H259" i="4"/>
  <c r="G259" i="4"/>
  <c r="J259" i="4" s="1"/>
  <c r="H258" i="4"/>
  <c r="G258" i="4"/>
  <c r="J258" i="4" s="1"/>
  <c r="H257" i="4"/>
  <c r="G257" i="4"/>
  <c r="J257" i="4" s="1"/>
  <c r="H256" i="4"/>
  <c r="G256" i="4"/>
  <c r="J256" i="4" s="1"/>
  <c r="H255" i="4"/>
  <c r="G255" i="4"/>
  <c r="J255" i="4" s="1"/>
  <c r="H254" i="4"/>
  <c r="G254" i="4"/>
  <c r="J254" i="4" s="1"/>
  <c r="H253" i="4"/>
  <c r="G253" i="4"/>
  <c r="J253" i="4" s="1"/>
  <c r="H252" i="4"/>
  <c r="G252" i="4"/>
  <c r="J252" i="4" s="1"/>
  <c r="H251" i="4"/>
  <c r="G251" i="4"/>
  <c r="J251" i="4" s="1"/>
  <c r="H250" i="4"/>
  <c r="G250" i="4"/>
  <c r="J250" i="4" s="1"/>
  <c r="H249" i="4"/>
  <c r="G249" i="4"/>
  <c r="J249" i="4" s="1"/>
  <c r="H248" i="4"/>
  <c r="G248" i="4"/>
  <c r="J248" i="4" s="1"/>
  <c r="H247" i="4"/>
  <c r="G247" i="4"/>
  <c r="J247" i="4" s="1"/>
  <c r="H246" i="4"/>
  <c r="G246" i="4"/>
  <c r="J246" i="4" s="1"/>
  <c r="H245" i="4"/>
  <c r="G245" i="4"/>
  <c r="J245" i="4" s="1"/>
  <c r="H244" i="4"/>
  <c r="G244" i="4"/>
  <c r="J244" i="4" s="1"/>
  <c r="H243" i="4"/>
  <c r="G243" i="4"/>
  <c r="J243" i="4" s="1"/>
  <c r="H242" i="4"/>
  <c r="G242" i="4"/>
  <c r="J242" i="4" s="1"/>
  <c r="H241" i="4"/>
  <c r="G241" i="4"/>
  <c r="J241" i="4" s="1"/>
  <c r="H240" i="4"/>
  <c r="G240" i="4"/>
  <c r="J240" i="4" s="1"/>
  <c r="H239" i="4"/>
  <c r="G239" i="4"/>
  <c r="J239" i="4" s="1"/>
  <c r="H238" i="4"/>
  <c r="G238" i="4"/>
  <c r="J238" i="4" s="1"/>
  <c r="H237" i="4"/>
  <c r="G237" i="4"/>
  <c r="J237" i="4" s="1"/>
  <c r="H236" i="4"/>
  <c r="G236" i="4"/>
  <c r="J236" i="4" s="1"/>
  <c r="H235" i="4"/>
  <c r="G235" i="4"/>
  <c r="J235" i="4" s="1"/>
  <c r="H234" i="4"/>
  <c r="G234" i="4"/>
  <c r="J234" i="4" s="1"/>
  <c r="H233" i="4"/>
  <c r="G233" i="4"/>
  <c r="H232" i="4"/>
  <c r="G232" i="4"/>
  <c r="J232" i="4" s="1"/>
  <c r="H231" i="4"/>
  <c r="G231" i="4"/>
  <c r="J231" i="4" s="1"/>
  <c r="H230" i="4"/>
  <c r="G230" i="4"/>
  <c r="J230" i="4" s="1"/>
  <c r="H229" i="4"/>
  <c r="G229" i="4"/>
  <c r="J229" i="4" s="1"/>
  <c r="H228" i="4"/>
  <c r="G228" i="4"/>
  <c r="J228" i="4" s="1"/>
  <c r="H227" i="4"/>
  <c r="G227" i="4"/>
  <c r="J227" i="4" s="1"/>
  <c r="H226" i="4"/>
  <c r="G226" i="4"/>
  <c r="H225" i="4"/>
  <c r="G225" i="4"/>
  <c r="J225" i="4" s="1"/>
  <c r="H224" i="4"/>
  <c r="G224" i="4"/>
  <c r="J224" i="4" s="1"/>
  <c r="H223" i="4"/>
  <c r="G223" i="4"/>
  <c r="J223" i="4" s="1"/>
  <c r="H222" i="4"/>
  <c r="G222" i="4"/>
  <c r="J222" i="4" s="1"/>
  <c r="H221" i="4"/>
  <c r="G221" i="4"/>
  <c r="J221" i="4" s="1"/>
  <c r="H220" i="4"/>
  <c r="G220" i="4"/>
  <c r="J220" i="4" s="1"/>
  <c r="H219" i="4"/>
  <c r="G219" i="4"/>
  <c r="J219" i="4" s="1"/>
  <c r="H218" i="4"/>
  <c r="G218" i="4"/>
  <c r="J218" i="4" s="1"/>
  <c r="H217" i="4"/>
  <c r="G217" i="4"/>
  <c r="J217" i="4" s="1"/>
  <c r="H216" i="4"/>
  <c r="G216" i="4"/>
  <c r="J216" i="4" s="1"/>
  <c r="H215" i="4"/>
  <c r="G215" i="4"/>
  <c r="J215" i="4" s="1"/>
  <c r="H214" i="4"/>
  <c r="G214" i="4"/>
  <c r="J214" i="4" s="1"/>
  <c r="H213" i="4"/>
  <c r="G213" i="4"/>
  <c r="J213" i="4" s="1"/>
  <c r="H212" i="4"/>
  <c r="G212" i="4"/>
  <c r="J212" i="4" s="1"/>
  <c r="H211" i="4"/>
  <c r="G211" i="4"/>
  <c r="J211" i="4" s="1"/>
  <c r="H210" i="4"/>
  <c r="G210" i="4"/>
  <c r="J210" i="4" s="1"/>
  <c r="H209" i="4"/>
  <c r="G209" i="4"/>
  <c r="J209" i="4" s="1"/>
  <c r="H208" i="4"/>
  <c r="G208" i="4"/>
  <c r="J208" i="4" s="1"/>
  <c r="H207" i="4"/>
  <c r="G207" i="4"/>
  <c r="J207" i="4" s="1"/>
  <c r="H206" i="4"/>
  <c r="G206" i="4"/>
  <c r="J206" i="4" s="1"/>
  <c r="H205" i="4"/>
  <c r="G205" i="4"/>
  <c r="J205" i="4" s="1"/>
  <c r="H204" i="4"/>
  <c r="G204" i="4"/>
  <c r="J204" i="4" s="1"/>
  <c r="H203" i="4"/>
  <c r="G203" i="4"/>
  <c r="J203" i="4" s="1"/>
  <c r="H202" i="4"/>
  <c r="G202" i="4"/>
  <c r="J202" i="4" s="1"/>
  <c r="H201" i="4"/>
  <c r="G201" i="4"/>
  <c r="J201" i="4" s="1"/>
  <c r="H200" i="4"/>
  <c r="G200" i="4"/>
  <c r="J200" i="4" s="1"/>
  <c r="H199" i="4"/>
  <c r="G199" i="4"/>
  <c r="J199" i="4" s="1"/>
  <c r="H198" i="4"/>
  <c r="G198" i="4"/>
  <c r="J198" i="4" s="1"/>
  <c r="S135" i="4"/>
  <c r="H197" i="4"/>
  <c r="G197" i="4"/>
  <c r="J197" i="4" s="1"/>
  <c r="AA134" i="4"/>
  <c r="H196" i="4"/>
  <c r="G196" i="4"/>
  <c r="J196" i="4" s="1"/>
  <c r="AA133" i="4"/>
  <c r="H195" i="4"/>
  <c r="G195" i="4"/>
  <c r="J195" i="4" s="1"/>
  <c r="AA132" i="4"/>
  <c r="H194" i="4"/>
  <c r="G194" i="4"/>
  <c r="J194" i="4" s="1"/>
  <c r="H193" i="4"/>
  <c r="G193" i="4"/>
  <c r="J193" i="4" s="1"/>
  <c r="H192" i="4"/>
  <c r="G192" i="4"/>
  <c r="J192" i="4" s="1"/>
  <c r="H191" i="4"/>
  <c r="G191" i="4"/>
  <c r="J191" i="4" s="1"/>
  <c r="H190" i="4"/>
  <c r="G190" i="4"/>
  <c r="J190" i="4" s="1"/>
  <c r="H189" i="4"/>
  <c r="G189" i="4"/>
  <c r="J189" i="4" s="1"/>
  <c r="H188" i="4"/>
  <c r="G188" i="4"/>
  <c r="J188" i="4" s="1"/>
  <c r="H187" i="4"/>
  <c r="G187" i="4"/>
  <c r="J187" i="4" s="1"/>
  <c r="H186" i="4"/>
  <c r="G186" i="4"/>
  <c r="J186" i="4" s="1"/>
  <c r="H185" i="4"/>
  <c r="G185" i="4"/>
  <c r="J185" i="4" s="1"/>
  <c r="H184" i="4"/>
  <c r="G184" i="4"/>
  <c r="J184" i="4" s="1"/>
  <c r="S121" i="4"/>
  <c r="H183" i="4"/>
  <c r="G183" i="4"/>
  <c r="J183" i="4" s="1"/>
  <c r="H182" i="4"/>
  <c r="G182" i="4"/>
  <c r="J182" i="4" s="1"/>
  <c r="AA119" i="4"/>
  <c r="H181" i="4"/>
  <c r="G181" i="4"/>
  <c r="J181" i="4" s="1"/>
  <c r="AA118" i="4"/>
  <c r="H180" i="4"/>
  <c r="G180" i="4"/>
  <c r="J180" i="4" s="1"/>
  <c r="H179" i="4"/>
  <c r="G179" i="4"/>
  <c r="J179" i="4" s="1"/>
  <c r="H178" i="4"/>
  <c r="G178" i="4"/>
  <c r="J178" i="4" s="1"/>
  <c r="H177" i="4"/>
  <c r="G177" i="4"/>
  <c r="J177" i="4" s="1"/>
  <c r="H176" i="4"/>
  <c r="G176" i="4"/>
  <c r="J176" i="4" s="1"/>
  <c r="H175" i="4"/>
  <c r="G175" i="4"/>
  <c r="J175" i="4" s="1"/>
  <c r="H174" i="4"/>
  <c r="G174" i="4"/>
  <c r="J174" i="4" s="1"/>
  <c r="U111" i="4"/>
  <c r="H173" i="4"/>
  <c r="G173" i="4"/>
  <c r="J173" i="4" s="1"/>
  <c r="S110" i="4"/>
  <c r="H172" i="4"/>
  <c r="G172" i="4"/>
  <c r="J172" i="4" s="1"/>
  <c r="V109" i="4"/>
  <c r="H171" i="4"/>
  <c r="G171" i="4"/>
  <c r="J171" i="4" s="1"/>
  <c r="U108" i="4"/>
  <c r="S108" i="4"/>
  <c r="H170" i="4"/>
  <c r="G170" i="4"/>
  <c r="J170" i="4" s="1"/>
  <c r="H169" i="4"/>
  <c r="G169" i="4"/>
  <c r="J169" i="4" s="1"/>
  <c r="V106" i="4"/>
  <c r="S106" i="4"/>
  <c r="H168" i="4"/>
  <c r="G168" i="4"/>
  <c r="J168" i="4" s="1"/>
  <c r="V105" i="4"/>
  <c r="U105" i="4"/>
  <c r="S105" i="4"/>
  <c r="H167" i="4"/>
  <c r="G167" i="4"/>
  <c r="J167" i="4" s="1"/>
  <c r="H166" i="4"/>
  <c r="G166" i="4"/>
  <c r="J166" i="4" s="1"/>
  <c r="H165" i="4"/>
  <c r="G165" i="4"/>
  <c r="J165" i="4" s="1"/>
  <c r="H164" i="4"/>
  <c r="G164" i="4"/>
  <c r="J164" i="4" s="1"/>
  <c r="Y101" i="4"/>
  <c r="X101" i="4"/>
  <c r="W101" i="4"/>
  <c r="V101" i="4"/>
  <c r="U101" i="4"/>
  <c r="T101" i="4"/>
  <c r="S101" i="4"/>
  <c r="H163" i="4"/>
  <c r="G163" i="4"/>
  <c r="J163" i="4" s="1"/>
  <c r="Y100" i="4"/>
  <c r="X100" i="4"/>
  <c r="W100" i="4"/>
  <c r="V100" i="4"/>
  <c r="U100" i="4"/>
  <c r="T100" i="4"/>
  <c r="S100" i="4"/>
  <c r="H162" i="4"/>
  <c r="G162" i="4"/>
  <c r="J162" i="4" s="1"/>
  <c r="AK70" i="4"/>
  <c r="Y99" i="4"/>
  <c r="X99" i="4"/>
  <c r="W99" i="4"/>
  <c r="V99" i="4"/>
  <c r="U99" i="4"/>
  <c r="T99" i="4"/>
  <c r="S99" i="4"/>
  <c r="H161" i="4"/>
  <c r="G161" i="4"/>
  <c r="J161" i="4" s="1"/>
  <c r="AK69" i="4"/>
  <c r="Y98" i="4"/>
  <c r="X98" i="4"/>
  <c r="W98" i="4"/>
  <c r="V98" i="4"/>
  <c r="U98" i="4"/>
  <c r="T98" i="4"/>
  <c r="S98" i="4"/>
  <c r="H160" i="4"/>
  <c r="G160" i="4"/>
  <c r="J160" i="4" s="1"/>
  <c r="H159" i="4"/>
  <c r="G159" i="4"/>
  <c r="AB51" i="4"/>
  <c r="AB50" i="4"/>
  <c r="Y16" i="1"/>
  <c r="Y15" i="1"/>
  <c r="B80" i="1"/>
  <c r="D80" i="1" s="1"/>
  <c r="C80" i="1"/>
  <c r="E80" i="1"/>
  <c r="F80" i="1"/>
  <c r="G80" i="1"/>
  <c r="H80" i="1"/>
  <c r="AB45" i="1" s="1"/>
  <c r="C81" i="1"/>
  <c r="X34" i="1"/>
  <c r="M118" i="1"/>
  <c r="U117" i="1"/>
  <c r="U116" i="1"/>
  <c r="U115" i="1"/>
  <c r="P89" i="1"/>
  <c r="M109" i="1"/>
  <c r="U106" i="1"/>
  <c r="U107" i="1"/>
  <c r="U108" i="1"/>
  <c r="U105" i="1"/>
  <c r="U101" i="1"/>
  <c r="M104" i="1"/>
  <c r="U102" i="1"/>
  <c r="U103" i="1"/>
  <c r="U100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O48" i="1"/>
  <c r="O49" i="1"/>
  <c r="T34" i="1" s="1"/>
  <c r="O43" i="1"/>
  <c r="O44" i="1"/>
  <c r="O45" i="1"/>
  <c r="O46" i="1"/>
  <c r="O47" i="1"/>
  <c r="O42" i="1"/>
  <c r="O94" i="1"/>
  <c r="O91" i="1"/>
  <c r="N88" i="1"/>
  <c r="O88" i="1"/>
  <c r="N84" i="1"/>
  <c r="O84" i="1"/>
  <c r="P84" i="1"/>
  <c r="Q84" i="1"/>
  <c r="R84" i="1"/>
  <c r="S84" i="1"/>
  <c r="M84" i="1"/>
  <c r="S81" i="1"/>
  <c r="S82" i="1"/>
  <c r="S83" i="1"/>
  <c r="N83" i="1"/>
  <c r="O83" i="1"/>
  <c r="P83" i="1"/>
  <c r="Q83" i="1"/>
  <c r="R83" i="1"/>
  <c r="M83" i="1"/>
  <c r="N91" i="1"/>
  <c r="N90" i="1"/>
  <c r="N89" i="1"/>
  <c r="M93" i="1"/>
  <c r="P92" i="1"/>
  <c r="P88" i="1"/>
  <c r="M91" i="1"/>
  <c r="M89" i="1"/>
  <c r="M88" i="1"/>
  <c r="N82" i="1"/>
  <c r="O82" i="1"/>
  <c r="P82" i="1"/>
  <c r="Q82" i="1"/>
  <c r="R82" i="1"/>
  <c r="M82" i="1"/>
  <c r="N81" i="1"/>
  <c r="O81" i="1"/>
  <c r="P81" i="1"/>
  <c r="Q81" i="1"/>
  <c r="R81" i="1"/>
  <c r="M81" i="1"/>
  <c r="W81" i="1"/>
  <c r="W82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G253" i="1" s="1"/>
  <c r="B254" i="1"/>
  <c r="G254" i="1" s="1"/>
  <c r="B255" i="1"/>
  <c r="G255" i="1" s="1"/>
  <c r="B256" i="1"/>
  <c r="G256" i="1" s="1"/>
  <c r="B257" i="1"/>
  <c r="G257" i="1" s="1"/>
  <c r="B258" i="1"/>
  <c r="G258" i="1" s="1"/>
  <c r="B259" i="1"/>
  <c r="G259" i="1" s="1"/>
  <c r="B260" i="1"/>
  <c r="G260" i="1" s="1"/>
  <c r="B261" i="1"/>
  <c r="G261" i="1" s="1"/>
  <c r="B262" i="1"/>
  <c r="G262" i="1" s="1"/>
  <c r="B263" i="1"/>
  <c r="G263" i="1" s="1"/>
  <c r="B264" i="1"/>
  <c r="G264" i="1" s="1"/>
  <c r="B265" i="1"/>
  <c r="G265" i="1" s="1"/>
  <c r="B266" i="1"/>
  <c r="G266" i="1" s="1"/>
  <c r="B267" i="1"/>
  <c r="G267" i="1" s="1"/>
  <c r="B268" i="1"/>
  <c r="G268" i="1" s="1"/>
  <c r="B269" i="1"/>
  <c r="G269" i="1" s="1"/>
  <c r="B270" i="1"/>
  <c r="G270" i="1" s="1"/>
  <c r="B271" i="1"/>
  <c r="G271" i="1" s="1"/>
  <c r="B272" i="1"/>
  <c r="G272" i="1" s="1"/>
  <c r="B273" i="1"/>
  <c r="G273" i="1" s="1"/>
  <c r="B274" i="1"/>
  <c r="G274" i="1" s="1"/>
  <c r="B275" i="1"/>
  <c r="G275" i="1" s="1"/>
  <c r="B276" i="1"/>
  <c r="G276" i="1" s="1"/>
  <c r="B277" i="1"/>
  <c r="G277" i="1" s="1"/>
  <c r="B278" i="1"/>
  <c r="G278" i="1" s="1"/>
  <c r="B279" i="1"/>
  <c r="G279" i="1" s="1"/>
  <c r="B280" i="1"/>
  <c r="G280" i="1" s="1"/>
  <c r="B281" i="1"/>
  <c r="G281" i="1" s="1"/>
  <c r="B282" i="1"/>
  <c r="G282" i="1" s="1"/>
  <c r="B283" i="1"/>
  <c r="G283" i="1" s="1"/>
  <c r="B284" i="1"/>
  <c r="G284" i="1" s="1"/>
  <c r="B285" i="1"/>
  <c r="G285" i="1" s="1"/>
  <c r="B286" i="1"/>
  <c r="G286" i="1" s="1"/>
  <c r="B287" i="1"/>
  <c r="G287" i="1" s="1"/>
  <c r="B288" i="1"/>
  <c r="G288" i="1" s="1"/>
  <c r="B289" i="1"/>
  <c r="G289" i="1" s="1"/>
  <c r="B290" i="1"/>
  <c r="G290" i="1" s="1"/>
  <c r="B291" i="1"/>
  <c r="G291" i="1" s="1"/>
  <c r="B292" i="1"/>
  <c r="G292" i="1" s="1"/>
  <c r="B293" i="1"/>
  <c r="G293" i="1" s="1"/>
  <c r="B294" i="1"/>
  <c r="G294" i="1" s="1"/>
  <c r="B295" i="1"/>
  <c r="G295" i="1" s="1"/>
  <c r="B296" i="1"/>
  <c r="G296" i="1" s="1"/>
  <c r="B297" i="1"/>
  <c r="G297" i="1" s="1"/>
  <c r="B298" i="1"/>
  <c r="G298" i="1" s="1"/>
  <c r="B299" i="1"/>
  <c r="G299" i="1" s="1"/>
  <c r="B300" i="1"/>
  <c r="G300" i="1" s="1"/>
  <c r="B301" i="1"/>
  <c r="G301" i="1" s="1"/>
  <c r="B302" i="1"/>
  <c r="G302" i="1" s="1"/>
  <c r="B303" i="1"/>
  <c r="G303" i="1" s="1"/>
  <c r="B304" i="1"/>
  <c r="G304" i="1" s="1"/>
  <c r="B305" i="1"/>
  <c r="G305" i="1" s="1"/>
  <c r="B306" i="1"/>
  <c r="G306" i="1" s="1"/>
  <c r="B307" i="1"/>
  <c r="G307" i="1" s="1"/>
  <c r="B308" i="1"/>
  <c r="G308" i="1" s="1"/>
  <c r="B309" i="1"/>
  <c r="G309" i="1" s="1"/>
  <c r="B310" i="1"/>
  <c r="G310" i="1" s="1"/>
  <c r="B311" i="1"/>
  <c r="G311" i="1" s="1"/>
  <c r="B312" i="1"/>
  <c r="G312" i="1" s="1"/>
  <c r="B313" i="1"/>
  <c r="G313" i="1" s="1"/>
  <c r="B314" i="1"/>
  <c r="G314" i="1" s="1"/>
  <c r="B315" i="1"/>
  <c r="G315" i="1" s="1"/>
  <c r="B316" i="1"/>
  <c r="G316" i="1" s="1"/>
  <c r="B317" i="1"/>
  <c r="G317" i="1" s="1"/>
  <c r="B318" i="1"/>
  <c r="G318" i="1" s="1"/>
  <c r="B319" i="1"/>
  <c r="G319" i="1" s="1"/>
  <c r="B320" i="1"/>
  <c r="G320" i="1" s="1"/>
  <c r="B321" i="1"/>
  <c r="G321" i="1" s="1"/>
  <c r="B322" i="1"/>
  <c r="G322" i="1" s="1"/>
  <c r="B323" i="1"/>
  <c r="G323" i="1" s="1"/>
  <c r="B324" i="1"/>
  <c r="G324" i="1" s="1"/>
  <c r="B325" i="1"/>
  <c r="G325" i="1" s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G429" i="1" s="1"/>
  <c r="B430" i="1"/>
  <c r="B431" i="1"/>
  <c r="B81" i="1"/>
  <c r="B82" i="1"/>
  <c r="G82" i="1" s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D128" i="1" s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G165" i="1" s="1"/>
  <c r="B166" i="1"/>
  <c r="G166" i="1" s="1"/>
  <c r="B167" i="1"/>
  <c r="G167" i="1" s="1"/>
  <c r="B168" i="1"/>
  <c r="G168" i="1" s="1"/>
  <c r="B169" i="1"/>
  <c r="B170" i="1"/>
  <c r="G170" i="1" s="1"/>
  <c r="B171" i="1"/>
  <c r="G171" i="1" s="1"/>
  <c r="B172" i="1"/>
  <c r="G172" i="1" s="1"/>
  <c r="B173" i="1"/>
  <c r="G173" i="1" s="1"/>
  <c r="B174" i="1"/>
  <c r="G174" i="1" s="1"/>
  <c r="B175" i="1"/>
  <c r="G175" i="1" s="1"/>
  <c r="B176" i="1"/>
  <c r="G176" i="1" s="1"/>
  <c r="B177" i="1"/>
  <c r="G177" i="1" s="1"/>
  <c r="B178" i="1"/>
  <c r="G178" i="1" s="1"/>
  <c r="B179" i="1"/>
  <c r="G179" i="1" s="1"/>
  <c r="B180" i="1"/>
  <c r="G180" i="1" s="1"/>
  <c r="B181" i="1"/>
  <c r="G181" i="1" s="1"/>
  <c r="B182" i="1"/>
  <c r="G182" i="1" s="1"/>
  <c r="B183" i="1"/>
  <c r="G183" i="1" s="1"/>
  <c r="B184" i="1"/>
  <c r="G184" i="1" s="1"/>
  <c r="B185" i="1"/>
  <c r="G185" i="1" s="1"/>
  <c r="B186" i="1"/>
  <c r="G186" i="1" s="1"/>
  <c r="B187" i="1"/>
  <c r="G187" i="1" s="1"/>
  <c r="B188" i="1"/>
  <c r="G188" i="1" s="1"/>
  <c r="B189" i="1"/>
  <c r="G189" i="1" s="1"/>
  <c r="B190" i="1"/>
  <c r="G190" i="1" s="1"/>
  <c r="B191" i="1"/>
  <c r="G191" i="1" s="1"/>
  <c r="B192" i="1"/>
  <c r="G192" i="1" s="1"/>
  <c r="B193" i="1"/>
  <c r="G193" i="1" s="1"/>
  <c r="B194" i="1"/>
  <c r="G194" i="1" s="1"/>
  <c r="B195" i="1"/>
  <c r="G195" i="1" s="1"/>
  <c r="B196" i="1"/>
  <c r="G196" i="1" s="1"/>
  <c r="B197" i="1"/>
  <c r="G197" i="1" s="1"/>
  <c r="B198" i="1"/>
  <c r="G198" i="1" s="1"/>
  <c r="B199" i="1"/>
  <c r="G199" i="1" s="1"/>
  <c r="B200" i="1"/>
  <c r="G200" i="1" s="1"/>
  <c r="B201" i="1"/>
  <c r="G201" i="1" s="1"/>
  <c r="B202" i="1"/>
  <c r="G202" i="1" s="1"/>
  <c r="B203" i="1"/>
  <c r="G203" i="1" s="1"/>
  <c r="B204" i="1"/>
  <c r="G204" i="1" s="1"/>
  <c r="B205" i="1"/>
  <c r="G205" i="1" s="1"/>
  <c r="B206" i="1"/>
  <c r="G206" i="1" s="1"/>
  <c r="B207" i="1"/>
  <c r="G207" i="1" s="1"/>
  <c r="Z51" i="1"/>
  <c r="Z50" i="1"/>
  <c r="W70" i="1" a="1"/>
  <c r="W70" i="1" s="1"/>
  <c r="W80" i="1" s="1"/>
  <c r="AP11" i="9" l="1"/>
  <c r="AJ48" i="9"/>
  <c r="AP9" i="9"/>
  <c r="AJ46" i="9"/>
  <c r="AH43" i="9"/>
  <c r="AH45" i="9" s="1"/>
  <c r="AP8" i="9"/>
  <c r="AJ45" i="9"/>
  <c r="AP10" i="9"/>
  <c r="AJ47" i="9"/>
  <c r="X37" i="9"/>
  <c r="AQ33" i="9"/>
  <c r="AV30" i="9"/>
  <c r="AT9" i="9" s="1"/>
  <c r="AQ34" i="9"/>
  <c r="AP34" i="9" s="1"/>
  <c r="AP6" i="9"/>
  <c r="AJ43" i="9"/>
  <c r="AP7" i="9"/>
  <c r="AJ44" i="9"/>
  <c r="AG37" i="9"/>
  <c r="U50" i="9" s="1"/>
  <c r="AE37" i="9"/>
  <c r="U48" i="9" s="1"/>
  <c r="N134" i="6"/>
  <c r="N123" i="4"/>
  <c r="N124" i="4"/>
  <c r="N131" i="6"/>
  <c r="N121" i="4"/>
  <c r="N129" i="4"/>
  <c r="N125" i="4"/>
  <c r="N97" i="4"/>
  <c r="N119" i="4"/>
  <c r="N120" i="4" s="1"/>
  <c r="V3" i="4"/>
  <c r="E9" i="7" s="1"/>
  <c r="N102" i="4"/>
  <c r="N73" i="4"/>
  <c r="M73" i="4" s="1"/>
  <c r="V12" i="7"/>
  <c r="N91" i="6"/>
  <c r="N99" i="6"/>
  <c r="N97" i="6"/>
  <c r="N108" i="6"/>
  <c r="N107" i="6"/>
  <c r="N135" i="6"/>
  <c r="N136" i="6" s="1"/>
  <c r="N152" i="6"/>
  <c r="N95" i="6"/>
  <c r="N96" i="6" s="1"/>
  <c r="N113" i="6"/>
  <c r="N148" i="6"/>
  <c r="N145" i="6"/>
  <c r="N103" i="6"/>
  <c r="N104" i="6" s="1"/>
  <c r="N111" i="6"/>
  <c r="N112" i="6" s="1"/>
  <c r="N133" i="6"/>
  <c r="N94" i="6"/>
  <c r="N125" i="6"/>
  <c r="N100" i="6"/>
  <c r="N110" i="6"/>
  <c r="N132" i="6"/>
  <c r="N147" i="6"/>
  <c r="N142" i="6"/>
  <c r="N94" i="4"/>
  <c r="N113" i="4"/>
  <c r="N116" i="4"/>
  <c r="N140" i="4"/>
  <c r="AC70" i="4" s="1" a="1"/>
  <c r="AC70" i="4" s="1"/>
  <c r="N127" i="4"/>
  <c r="N128" i="4" s="1"/>
  <c r="N139" i="4"/>
  <c r="V54" i="4"/>
  <c r="AA147" i="4"/>
  <c r="AC147" i="4" s="1"/>
  <c r="AJ50" i="4" s="1"/>
  <c r="T54" i="4"/>
  <c r="N107" i="4"/>
  <c r="T12" i="7"/>
  <c r="U12" i="7"/>
  <c r="R8" i="7"/>
  <c r="S8" i="7"/>
  <c r="Q8" i="7"/>
  <c r="U8" i="7"/>
  <c r="T8" i="7"/>
  <c r="V8" i="7"/>
  <c r="U11" i="7"/>
  <c r="V11" i="7"/>
  <c r="T11" i="7"/>
  <c r="N105" i="6"/>
  <c r="N140" i="6"/>
  <c r="N143" i="6"/>
  <c r="N144" i="6" s="1"/>
  <c r="N141" i="6"/>
  <c r="N137" i="6"/>
  <c r="N139" i="6"/>
  <c r="AA141" i="6"/>
  <c r="AC141" i="6" s="1"/>
  <c r="AH44" i="6" s="1"/>
  <c r="N127" i="6"/>
  <c r="N128" i="6" s="1"/>
  <c r="AA126" i="6"/>
  <c r="AC126" i="6" s="1"/>
  <c r="X28" i="6" s="1"/>
  <c r="N129" i="6"/>
  <c r="N126" i="6"/>
  <c r="N123" i="6"/>
  <c r="M428" i="6"/>
  <c r="L428" i="6"/>
  <c r="K428" i="6"/>
  <c r="J428" i="6"/>
  <c r="I428" i="6"/>
  <c r="M337" i="6"/>
  <c r="K337" i="6"/>
  <c r="L337" i="6"/>
  <c r="M150" i="6"/>
  <c r="N150" i="6" s="1"/>
  <c r="M151" i="6"/>
  <c r="N151" i="6" s="1"/>
  <c r="M518" i="6"/>
  <c r="L518" i="6"/>
  <c r="K518" i="6"/>
  <c r="J518" i="6"/>
  <c r="I518" i="6"/>
  <c r="M517" i="6"/>
  <c r="L517" i="6"/>
  <c r="K517" i="6"/>
  <c r="J517" i="6"/>
  <c r="I517" i="6"/>
  <c r="M516" i="6"/>
  <c r="L516" i="6"/>
  <c r="K516" i="6"/>
  <c r="J516" i="6"/>
  <c r="I516" i="6"/>
  <c r="M515" i="6"/>
  <c r="L515" i="6"/>
  <c r="K515" i="6"/>
  <c r="J515" i="6"/>
  <c r="I515" i="6"/>
  <c r="M514" i="6"/>
  <c r="L514" i="6"/>
  <c r="K514" i="6"/>
  <c r="J514" i="6"/>
  <c r="I514" i="6"/>
  <c r="M513" i="6"/>
  <c r="L513" i="6"/>
  <c r="K513" i="6"/>
  <c r="J513" i="6"/>
  <c r="I513" i="6"/>
  <c r="M512" i="6"/>
  <c r="L512" i="6"/>
  <c r="K512" i="6"/>
  <c r="J512" i="6"/>
  <c r="I512" i="6"/>
  <c r="M511" i="6"/>
  <c r="L511" i="6"/>
  <c r="K511" i="6"/>
  <c r="J511" i="6"/>
  <c r="I511" i="6"/>
  <c r="M510" i="6"/>
  <c r="L510" i="6"/>
  <c r="K510" i="6"/>
  <c r="J510" i="6"/>
  <c r="I510" i="6"/>
  <c r="M509" i="6"/>
  <c r="L509" i="6"/>
  <c r="K509" i="6"/>
  <c r="J509" i="6"/>
  <c r="I509" i="6"/>
  <c r="M508" i="6"/>
  <c r="L508" i="6"/>
  <c r="K508" i="6"/>
  <c r="J508" i="6"/>
  <c r="I508" i="6"/>
  <c r="M507" i="6"/>
  <c r="L507" i="6"/>
  <c r="K507" i="6"/>
  <c r="J507" i="6"/>
  <c r="I507" i="6"/>
  <c r="M506" i="6"/>
  <c r="L506" i="6"/>
  <c r="K506" i="6"/>
  <c r="J506" i="6"/>
  <c r="I506" i="6"/>
  <c r="M505" i="6"/>
  <c r="L505" i="6"/>
  <c r="K505" i="6"/>
  <c r="J505" i="6"/>
  <c r="I505" i="6"/>
  <c r="M504" i="6"/>
  <c r="L504" i="6"/>
  <c r="K504" i="6"/>
  <c r="J504" i="6"/>
  <c r="I504" i="6"/>
  <c r="M503" i="6"/>
  <c r="L503" i="6"/>
  <c r="K503" i="6"/>
  <c r="J503" i="6"/>
  <c r="I503" i="6"/>
  <c r="M502" i="6"/>
  <c r="L502" i="6"/>
  <c r="K502" i="6"/>
  <c r="J502" i="6"/>
  <c r="I502" i="6"/>
  <c r="M501" i="6"/>
  <c r="L501" i="6"/>
  <c r="K501" i="6"/>
  <c r="J501" i="6"/>
  <c r="I501" i="6"/>
  <c r="M500" i="6"/>
  <c r="L500" i="6"/>
  <c r="K500" i="6"/>
  <c r="J500" i="6"/>
  <c r="I500" i="6"/>
  <c r="M499" i="6"/>
  <c r="L499" i="6"/>
  <c r="K499" i="6"/>
  <c r="J499" i="6"/>
  <c r="I499" i="6"/>
  <c r="K498" i="6"/>
  <c r="L498" i="6"/>
  <c r="M498" i="6"/>
  <c r="J498" i="6"/>
  <c r="I498" i="6"/>
  <c r="M497" i="6"/>
  <c r="L497" i="6"/>
  <c r="K497" i="6"/>
  <c r="J497" i="6"/>
  <c r="I497" i="6"/>
  <c r="M496" i="6"/>
  <c r="L496" i="6"/>
  <c r="K496" i="6"/>
  <c r="J496" i="6"/>
  <c r="I496" i="6"/>
  <c r="M495" i="6"/>
  <c r="L495" i="6"/>
  <c r="K495" i="6"/>
  <c r="J495" i="6"/>
  <c r="I495" i="6"/>
  <c r="M494" i="6"/>
  <c r="L494" i="6"/>
  <c r="K494" i="6"/>
  <c r="J494" i="6"/>
  <c r="I494" i="6"/>
  <c r="M493" i="6"/>
  <c r="L493" i="6"/>
  <c r="K493" i="6"/>
  <c r="J493" i="6"/>
  <c r="I493" i="6"/>
  <c r="M492" i="6"/>
  <c r="L492" i="6"/>
  <c r="K492" i="6"/>
  <c r="J492" i="6"/>
  <c r="I492" i="6"/>
  <c r="M491" i="6"/>
  <c r="L491" i="6"/>
  <c r="K491" i="6"/>
  <c r="J491" i="6"/>
  <c r="I491" i="6"/>
  <c r="M490" i="6"/>
  <c r="L490" i="6"/>
  <c r="K490" i="6"/>
  <c r="J490" i="6"/>
  <c r="I490" i="6"/>
  <c r="M489" i="6"/>
  <c r="L489" i="6"/>
  <c r="K489" i="6"/>
  <c r="J489" i="6"/>
  <c r="I489" i="6"/>
  <c r="J488" i="6"/>
  <c r="L488" i="6"/>
  <c r="K488" i="6"/>
  <c r="M488" i="6"/>
  <c r="I488" i="6"/>
  <c r="M487" i="6"/>
  <c r="L487" i="6"/>
  <c r="K487" i="6"/>
  <c r="J487" i="6"/>
  <c r="I487" i="6"/>
  <c r="J486" i="6"/>
  <c r="L486" i="6"/>
  <c r="K486" i="6"/>
  <c r="M486" i="6"/>
  <c r="I486" i="6"/>
  <c r="M485" i="6"/>
  <c r="L485" i="6"/>
  <c r="K485" i="6"/>
  <c r="J485" i="6"/>
  <c r="I485" i="6"/>
  <c r="M484" i="6"/>
  <c r="L484" i="6"/>
  <c r="K484" i="6"/>
  <c r="J484" i="6"/>
  <c r="I484" i="6"/>
  <c r="J483" i="6"/>
  <c r="L483" i="6"/>
  <c r="K483" i="6"/>
  <c r="M483" i="6"/>
  <c r="I483" i="6"/>
  <c r="M482" i="6"/>
  <c r="L482" i="6"/>
  <c r="K482" i="6"/>
  <c r="J482" i="6"/>
  <c r="I482" i="6"/>
  <c r="M481" i="6"/>
  <c r="L481" i="6"/>
  <c r="K481" i="6"/>
  <c r="J481" i="6"/>
  <c r="I481" i="6"/>
  <c r="M480" i="6"/>
  <c r="L480" i="6"/>
  <c r="K480" i="6"/>
  <c r="J480" i="6"/>
  <c r="I480" i="6"/>
  <c r="M479" i="6"/>
  <c r="L479" i="6"/>
  <c r="K479" i="6"/>
  <c r="J479" i="6"/>
  <c r="I479" i="6"/>
  <c r="M478" i="6"/>
  <c r="L478" i="6"/>
  <c r="K478" i="6"/>
  <c r="J478" i="6"/>
  <c r="I478" i="6"/>
  <c r="K477" i="6"/>
  <c r="L477" i="6"/>
  <c r="M477" i="6"/>
  <c r="J477" i="6"/>
  <c r="I477" i="6"/>
  <c r="M476" i="6"/>
  <c r="L476" i="6"/>
  <c r="K476" i="6"/>
  <c r="J476" i="6"/>
  <c r="I476" i="6"/>
  <c r="M475" i="6"/>
  <c r="L475" i="6"/>
  <c r="K475" i="6"/>
  <c r="J475" i="6"/>
  <c r="I475" i="6"/>
  <c r="M474" i="6"/>
  <c r="L474" i="6"/>
  <c r="K474" i="6"/>
  <c r="J474" i="6"/>
  <c r="I474" i="6"/>
  <c r="M473" i="6"/>
  <c r="L473" i="6"/>
  <c r="K473" i="6"/>
  <c r="J473" i="6"/>
  <c r="I473" i="6"/>
  <c r="M472" i="6"/>
  <c r="L472" i="6"/>
  <c r="K472" i="6"/>
  <c r="J472" i="6"/>
  <c r="I472" i="6"/>
  <c r="M471" i="6"/>
  <c r="L471" i="6"/>
  <c r="K471" i="6"/>
  <c r="J471" i="6"/>
  <c r="I471" i="6"/>
  <c r="M470" i="6"/>
  <c r="L470" i="6"/>
  <c r="K470" i="6"/>
  <c r="J470" i="6"/>
  <c r="I470" i="6"/>
  <c r="M469" i="6"/>
  <c r="L469" i="6"/>
  <c r="K469" i="6"/>
  <c r="J469" i="6"/>
  <c r="I469" i="6"/>
  <c r="M468" i="6"/>
  <c r="L468" i="6"/>
  <c r="K468" i="6"/>
  <c r="J468" i="6"/>
  <c r="I468" i="6"/>
  <c r="M467" i="6"/>
  <c r="L467" i="6"/>
  <c r="K467" i="6"/>
  <c r="J467" i="6"/>
  <c r="I467" i="6"/>
  <c r="M466" i="6"/>
  <c r="L466" i="6"/>
  <c r="K466" i="6"/>
  <c r="J466" i="6"/>
  <c r="I466" i="6"/>
  <c r="M465" i="6"/>
  <c r="L465" i="6"/>
  <c r="K465" i="6"/>
  <c r="J465" i="6"/>
  <c r="I465" i="6"/>
  <c r="M464" i="6"/>
  <c r="L464" i="6"/>
  <c r="K464" i="6"/>
  <c r="J464" i="6"/>
  <c r="I464" i="6"/>
  <c r="M463" i="6"/>
  <c r="L463" i="6"/>
  <c r="K463" i="6"/>
  <c r="J463" i="6"/>
  <c r="I463" i="6"/>
  <c r="M462" i="6"/>
  <c r="L462" i="6"/>
  <c r="K462" i="6"/>
  <c r="J462" i="6"/>
  <c r="I462" i="6"/>
  <c r="M461" i="6"/>
  <c r="L461" i="6"/>
  <c r="K461" i="6"/>
  <c r="J461" i="6"/>
  <c r="I461" i="6"/>
  <c r="M460" i="6"/>
  <c r="L460" i="6"/>
  <c r="K460" i="6"/>
  <c r="J460" i="6"/>
  <c r="I460" i="6"/>
  <c r="M459" i="6"/>
  <c r="L459" i="6"/>
  <c r="K459" i="6"/>
  <c r="J459" i="6"/>
  <c r="I459" i="6"/>
  <c r="M458" i="6"/>
  <c r="L458" i="6"/>
  <c r="K458" i="6"/>
  <c r="J458" i="6"/>
  <c r="I458" i="6"/>
  <c r="M457" i="6"/>
  <c r="L457" i="6"/>
  <c r="K457" i="6"/>
  <c r="J457" i="6"/>
  <c r="I457" i="6"/>
  <c r="M456" i="6"/>
  <c r="L456" i="6"/>
  <c r="K456" i="6"/>
  <c r="J456" i="6"/>
  <c r="I456" i="6"/>
  <c r="M455" i="6"/>
  <c r="L455" i="6"/>
  <c r="K455" i="6"/>
  <c r="J455" i="6"/>
  <c r="I455" i="6"/>
  <c r="M454" i="6"/>
  <c r="L454" i="6"/>
  <c r="K454" i="6"/>
  <c r="J454" i="6"/>
  <c r="I454" i="6"/>
  <c r="M453" i="6"/>
  <c r="L453" i="6"/>
  <c r="K453" i="6"/>
  <c r="J453" i="6"/>
  <c r="I453" i="6"/>
  <c r="M452" i="6"/>
  <c r="L452" i="6"/>
  <c r="K452" i="6"/>
  <c r="J452" i="6"/>
  <c r="I452" i="6"/>
  <c r="M451" i="6"/>
  <c r="L451" i="6"/>
  <c r="K451" i="6"/>
  <c r="J451" i="6"/>
  <c r="I451" i="6"/>
  <c r="M450" i="6"/>
  <c r="L450" i="6"/>
  <c r="K450" i="6"/>
  <c r="J450" i="6"/>
  <c r="I450" i="6"/>
  <c r="M449" i="6"/>
  <c r="L449" i="6"/>
  <c r="K449" i="6"/>
  <c r="J449" i="6"/>
  <c r="I449" i="6"/>
  <c r="M448" i="6"/>
  <c r="L448" i="6"/>
  <c r="K448" i="6"/>
  <c r="J448" i="6"/>
  <c r="I448" i="6"/>
  <c r="M447" i="6"/>
  <c r="L447" i="6"/>
  <c r="K447" i="6"/>
  <c r="J447" i="6"/>
  <c r="I447" i="6"/>
  <c r="M446" i="6"/>
  <c r="L446" i="6"/>
  <c r="K446" i="6"/>
  <c r="J446" i="6"/>
  <c r="I446" i="6"/>
  <c r="M445" i="6"/>
  <c r="L445" i="6"/>
  <c r="K445" i="6"/>
  <c r="J445" i="6"/>
  <c r="I445" i="6"/>
  <c r="M444" i="6"/>
  <c r="L444" i="6"/>
  <c r="K444" i="6"/>
  <c r="J444" i="6"/>
  <c r="I444" i="6"/>
  <c r="M443" i="6"/>
  <c r="L443" i="6"/>
  <c r="K443" i="6"/>
  <c r="J443" i="6"/>
  <c r="I443" i="6"/>
  <c r="M442" i="6"/>
  <c r="L442" i="6"/>
  <c r="K442" i="6"/>
  <c r="J442" i="6"/>
  <c r="I442" i="6"/>
  <c r="M441" i="6"/>
  <c r="L441" i="6"/>
  <c r="K441" i="6"/>
  <c r="J441" i="6"/>
  <c r="I441" i="6"/>
  <c r="M440" i="6"/>
  <c r="L440" i="6"/>
  <c r="K440" i="6"/>
  <c r="J440" i="6"/>
  <c r="I440" i="6"/>
  <c r="M439" i="6"/>
  <c r="L439" i="6"/>
  <c r="K439" i="6"/>
  <c r="J439" i="6"/>
  <c r="I439" i="6"/>
  <c r="M438" i="6"/>
  <c r="L438" i="6"/>
  <c r="K438" i="6"/>
  <c r="J438" i="6"/>
  <c r="I438" i="6"/>
  <c r="M437" i="6"/>
  <c r="L437" i="6"/>
  <c r="K437" i="6"/>
  <c r="J437" i="6"/>
  <c r="I437" i="6"/>
  <c r="M436" i="6"/>
  <c r="L436" i="6"/>
  <c r="K436" i="6"/>
  <c r="J436" i="6"/>
  <c r="I436" i="6"/>
  <c r="J435" i="6"/>
  <c r="M435" i="6"/>
  <c r="K435" i="6"/>
  <c r="L435" i="6"/>
  <c r="I435" i="6"/>
  <c r="M434" i="6"/>
  <c r="L434" i="6"/>
  <c r="K434" i="6"/>
  <c r="J434" i="6"/>
  <c r="I434" i="6"/>
  <c r="M433" i="6"/>
  <c r="L433" i="6"/>
  <c r="K433" i="6"/>
  <c r="J433" i="6"/>
  <c r="I433" i="6"/>
  <c r="M432" i="6"/>
  <c r="L432" i="6"/>
  <c r="K432" i="6"/>
  <c r="J432" i="6"/>
  <c r="I432" i="6"/>
  <c r="M431" i="6"/>
  <c r="L431" i="6"/>
  <c r="K431" i="6"/>
  <c r="J431" i="6"/>
  <c r="I431" i="6"/>
  <c r="M430" i="6"/>
  <c r="L430" i="6"/>
  <c r="K430" i="6"/>
  <c r="J430" i="6"/>
  <c r="I430" i="6"/>
  <c r="M429" i="6"/>
  <c r="L429" i="6"/>
  <c r="K429" i="6"/>
  <c r="J429" i="6"/>
  <c r="I429" i="6"/>
  <c r="M427" i="6"/>
  <c r="I427" i="6"/>
  <c r="J427" i="6"/>
  <c r="K427" i="6"/>
  <c r="L427" i="6"/>
  <c r="I426" i="6"/>
  <c r="J426" i="6"/>
  <c r="K426" i="6"/>
  <c r="L426" i="6"/>
  <c r="M426" i="6"/>
  <c r="J425" i="6"/>
  <c r="K425" i="6"/>
  <c r="L425" i="6"/>
  <c r="M425" i="6"/>
  <c r="I425" i="6"/>
  <c r="L424" i="6"/>
  <c r="M424" i="6"/>
  <c r="K424" i="6"/>
  <c r="J424" i="6"/>
  <c r="I424" i="6"/>
  <c r="M423" i="6"/>
  <c r="L423" i="6"/>
  <c r="K423" i="6"/>
  <c r="J423" i="6"/>
  <c r="I423" i="6"/>
  <c r="M422" i="6"/>
  <c r="L422" i="6"/>
  <c r="K422" i="6"/>
  <c r="J422" i="6"/>
  <c r="I422" i="6"/>
  <c r="L421" i="6"/>
  <c r="K421" i="6"/>
  <c r="J421" i="6"/>
  <c r="I421" i="6"/>
  <c r="M421" i="6"/>
  <c r="I420" i="6"/>
  <c r="M420" i="6"/>
  <c r="L420" i="6"/>
  <c r="K420" i="6"/>
  <c r="J420" i="6"/>
  <c r="L419" i="6"/>
  <c r="M419" i="6"/>
  <c r="I419" i="6"/>
  <c r="J419" i="6"/>
  <c r="K419" i="6"/>
  <c r="I418" i="6"/>
  <c r="J418" i="6"/>
  <c r="K418" i="6"/>
  <c r="L418" i="6"/>
  <c r="M418" i="6"/>
  <c r="I417" i="6"/>
  <c r="J417" i="6"/>
  <c r="L417" i="6"/>
  <c r="M417" i="6"/>
  <c r="K417" i="6"/>
  <c r="K416" i="6"/>
  <c r="M416" i="6"/>
  <c r="L416" i="6"/>
  <c r="J416" i="6"/>
  <c r="I416" i="6"/>
  <c r="M415" i="6"/>
  <c r="L415" i="6"/>
  <c r="K415" i="6"/>
  <c r="J415" i="6"/>
  <c r="I415" i="6"/>
  <c r="M414" i="6"/>
  <c r="K414" i="6"/>
  <c r="J414" i="6"/>
  <c r="I414" i="6"/>
  <c r="L414" i="6"/>
  <c r="M413" i="6"/>
  <c r="L413" i="6"/>
  <c r="K413" i="6"/>
  <c r="J413" i="6"/>
  <c r="I413" i="6"/>
  <c r="M412" i="6"/>
  <c r="L412" i="6"/>
  <c r="K412" i="6"/>
  <c r="J412" i="6"/>
  <c r="I412" i="6"/>
  <c r="I411" i="6"/>
  <c r="M411" i="6"/>
  <c r="L411" i="6"/>
  <c r="K411" i="6"/>
  <c r="J411" i="6"/>
  <c r="K410" i="6"/>
  <c r="J410" i="6"/>
  <c r="I410" i="6"/>
  <c r="M410" i="6"/>
  <c r="L410" i="6"/>
  <c r="M409" i="6"/>
  <c r="L409" i="6"/>
  <c r="K409" i="6"/>
  <c r="J409" i="6"/>
  <c r="I409" i="6"/>
  <c r="L408" i="6"/>
  <c r="M408" i="6"/>
  <c r="J408" i="6"/>
  <c r="I408" i="6"/>
  <c r="K408" i="6"/>
  <c r="M407" i="6"/>
  <c r="L407" i="6"/>
  <c r="K407" i="6"/>
  <c r="J407" i="6"/>
  <c r="I407" i="6"/>
  <c r="I406" i="6"/>
  <c r="L406" i="6"/>
  <c r="K406" i="6"/>
  <c r="J406" i="6"/>
  <c r="M406" i="6"/>
  <c r="M405" i="6"/>
  <c r="L405" i="6"/>
  <c r="K405" i="6"/>
  <c r="J405" i="6"/>
  <c r="I405" i="6"/>
  <c r="M404" i="6"/>
  <c r="L404" i="6"/>
  <c r="K404" i="6"/>
  <c r="J404" i="6"/>
  <c r="I404" i="6"/>
  <c r="I403" i="6"/>
  <c r="M403" i="6"/>
  <c r="K403" i="6"/>
  <c r="L403" i="6"/>
  <c r="J403" i="6"/>
  <c r="J402" i="6"/>
  <c r="M402" i="6"/>
  <c r="L402" i="6"/>
  <c r="K402" i="6"/>
  <c r="I402" i="6"/>
  <c r="M401" i="6"/>
  <c r="L401" i="6"/>
  <c r="K401" i="6"/>
  <c r="J401" i="6"/>
  <c r="I401" i="6"/>
  <c r="M400" i="6"/>
  <c r="L400" i="6"/>
  <c r="K400" i="6"/>
  <c r="J400" i="6"/>
  <c r="I400" i="6"/>
  <c r="K399" i="6"/>
  <c r="L399" i="6"/>
  <c r="M399" i="6"/>
  <c r="J399" i="6"/>
  <c r="I399" i="6"/>
  <c r="M398" i="6"/>
  <c r="L398" i="6"/>
  <c r="K398" i="6"/>
  <c r="J398" i="6"/>
  <c r="I398" i="6"/>
  <c r="I397" i="6"/>
  <c r="M397" i="6"/>
  <c r="L397" i="6"/>
  <c r="K397" i="6"/>
  <c r="J397" i="6"/>
  <c r="I396" i="6"/>
  <c r="M396" i="6"/>
  <c r="L396" i="6"/>
  <c r="K396" i="6"/>
  <c r="J396" i="6"/>
  <c r="K395" i="6"/>
  <c r="L395" i="6"/>
  <c r="J395" i="6"/>
  <c r="I395" i="6"/>
  <c r="M395" i="6"/>
  <c r="M394" i="6"/>
  <c r="K394" i="6"/>
  <c r="J394" i="6"/>
  <c r="I394" i="6"/>
  <c r="L394" i="6"/>
  <c r="M393" i="6"/>
  <c r="L393" i="6"/>
  <c r="K393" i="6"/>
  <c r="J393" i="6"/>
  <c r="I393" i="6"/>
  <c r="I392" i="6"/>
  <c r="K392" i="6"/>
  <c r="J392" i="6"/>
  <c r="L392" i="6"/>
  <c r="M392" i="6"/>
  <c r="M391" i="6"/>
  <c r="K391" i="6"/>
  <c r="J391" i="6"/>
  <c r="I391" i="6"/>
  <c r="L391" i="6"/>
  <c r="M390" i="6"/>
  <c r="L390" i="6"/>
  <c r="K390" i="6"/>
  <c r="J390" i="6"/>
  <c r="I390" i="6"/>
  <c r="M389" i="6"/>
  <c r="L389" i="6"/>
  <c r="K389" i="6"/>
  <c r="J389" i="6"/>
  <c r="I389" i="6"/>
  <c r="M388" i="6"/>
  <c r="L388" i="6"/>
  <c r="J388" i="6"/>
  <c r="I388" i="6"/>
  <c r="K388" i="6"/>
  <c r="M387" i="6"/>
  <c r="L387" i="6"/>
  <c r="K387" i="6"/>
  <c r="J387" i="6"/>
  <c r="I387" i="6"/>
  <c r="I386" i="6"/>
  <c r="M386" i="6"/>
  <c r="L386" i="6"/>
  <c r="K386" i="6"/>
  <c r="J386" i="6"/>
  <c r="I385" i="6"/>
  <c r="L385" i="6"/>
  <c r="K385" i="6"/>
  <c r="J385" i="6"/>
  <c r="M385" i="6"/>
  <c r="M384" i="6"/>
  <c r="L384" i="6"/>
  <c r="K384" i="6"/>
  <c r="J384" i="6"/>
  <c r="I384" i="6"/>
  <c r="M383" i="6"/>
  <c r="I383" i="6"/>
  <c r="J383" i="6"/>
  <c r="K383" i="6"/>
  <c r="L383" i="6"/>
  <c r="K382" i="6"/>
  <c r="I382" i="6"/>
  <c r="J382" i="6"/>
  <c r="L382" i="6"/>
  <c r="M382" i="6"/>
  <c r="J381" i="6"/>
  <c r="I381" i="6"/>
  <c r="K381" i="6"/>
  <c r="L381" i="6"/>
  <c r="M381" i="6"/>
  <c r="J380" i="6"/>
  <c r="I380" i="6"/>
  <c r="K380" i="6"/>
  <c r="L380" i="6"/>
  <c r="M380" i="6"/>
  <c r="I379" i="6"/>
  <c r="J379" i="6"/>
  <c r="L379" i="6"/>
  <c r="K379" i="6"/>
  <c r="M379" i="6"/>
  <c r="L378" i="6"/>
  <c r="K378" i="6"/>
  <c r="J378" i="6"/>
  <c r="I378" i="6"/>
  <c r="M378" i="6"/>
  <c r="M377" i="6"/>
  <c r="L377" i="6"/>
  <c r="K377" i="6"/>
  <c r="J377" i="6"/>
  <c r="I377" i="6"/>
  <c r="M376" i="6"/>
  <c r="L376" i="6"/>
  <c r="K376" i="6"/>
  <c r="J376" i="6"/>
  <c r="I376" i="6"/>
  <c r="M375" i="6"/>
  <c r="L375" i="6"/>
  <c r="K375" i="6"/>
  <c r="J375" i="6"/>
  <c r="I375" i="6"/>
  <c r="J374" i="6"/>
  <c r="L374" i="6"/>
  <c r="K374" i="6"/>
  <c r="M374" i="6"/>
  <c r="I374" i="6"/>
  <c r="M373" i="6"/>
  <c r="L373" i="6"/>
  <c r="K373" i="6"/>
  <c r="I373" i="6"/>
  <c r="J373" i="6"/>
  <c r="L372" i="6"/>
  <c r="K372" i="6"/>
  <c r="J372" i="6"/>
  <c r="I372" i="6"/>
  <c r="M372" i="6"/>
  <c r="M371" i="6"/>
  <c r="L371" i="6"/>
  <c r="K371" i="6"/>
  <c r="J371" i="6"/>
  <c r="I371" i="6"/>
  <c r="M370" i="6"/>
  <c r="L370" i="6"/>
  <c r="K370" i="6"/>
  <c r="J370" i="6"/>
  <c r="I370" i="6"/>
  <c r="M369" i="6"/>
  <c r="L369" i="6"/>
  <c r="K369" i="6"/>
  <c r="J369" i="6"/>
  <c r="I369" i="6"/>
  <c r="K368" i="6"/>
  <c r="M368" i="6"/>
  <c r="I368" i="6"/>
  <c r="J368" i="6"/>
  <c r="L368" i="6"/>
  <c r="J367" i="6"/>
  <c r="I367" i="6"/>
  <c r="K367" i="6"/>
  <c r="L367" i="6"/>
  <c r="M367" i="6"/>
  <c r="K366" i="6"/>
  <c r="I366" i="6"/>
  <c r="J366" i="6"/>
  <c r="L366" i="6"/>
  <c r="M366" i="6"/>
  <c r="M365" i="6"/>
  <c r="L365" i="6"/>
  <c r="K365" i="6"/>
  <c r="J365" i="6"/>
  <c r="I365" i="6"/>
  <c r="M364" i="6"/>
  <c r="L364" i="6"/>
  <c r="K364" i="6"/>
  <c r="J364" i="6"/>
  <c r="I364" i="6"/>
  <c r="I363" i="6"/>
  <c r="M363" i="6"/>
  <c r="L363" i="6"/>
  <c r="K363" i="6"/>
  <c r="J363" i="6"/>
  <c r="M362" i="6"/>
  <c r="L362" i="6"/>
  <c r="K362" i="6"/>
  <c r="J362" i="6"/>
  <c r="I362" i="6"/>
  <c r="M361" i="6"/>
  <c r="L361" i="6"/>
  <c r="K361" i="6"/>
  <c r="J361" i="6"/>
  <c r="I361" i="6"/>
  <c r="I360" i="6"/>
  <c r="M360" i="6"/>
  <c r="L360" i="6"/>
  <c r="K360" i="6"/>
  <c r="J360" i="6"/>
  <c r="I359" i="6"/>
  <c r="M359" i="6"/>
  <c r="L359" i="6"/>
  <c r="K359" i="6"/>
  <c r="J359" i="6"/>
  <c r="L358" i="6"/>
  <c r="M358" i="6"/>
  <c r="K358" i="6"/>
  <c r="J358" i="6"/>
  <c r="I358" i="6"/>
  <c r="M357" i="6"/>
  <c r="L357" i="6"/>
  <c r="K357" i="6"/>
  <c r="J357" i="6"/>
  <c r="I357" i="6"/>
  <c r="I356" i="6"/>
  <c r="M356" i="6"/>
  <c r="L356" i="6"/>
  <c r="K356" i="6"/>
  <c r="J356" i="6"/>
  <c r="I355" i="6"/>
  <c r="L355" i="6"/>
  <c r="K355" i="6"/>
  <c r="J355" i="6"/>
  <c r="M355" i="6"/>
  <c r="I354" i="6"/>
  <c r="M354" i="6"/>
  <c r="L354" i="6"/>
  <c r="K354" i="6"/>
  <c r="J354" i="6"/>
  <c r="K353" i="6"/>
  <c r="M353" i="6"/>
  <c r="L353" i="6"/>
  <c r="J353" i="6"/>
  <c r="I353" i="6"/>
  <c r="M352" i="6"/>
  <c r="L352" i="6"/>
  <c r="K352" i="6"/>
  <c r="J352" i="6"/>
  <c r="I352" i="6"/>
  <c r="K351" i="6"/>
  <c r="M351" i="6"/>
  <c r="J351" i="6"/>
  <c r="I351" i="6"/>
  <c r="L351" i="6"/>
  <c r="L350" i="6"/>
  <c r="M350" i="6"/>
  <c r="J350" i="6"/>
  <c r="K350" i="6"/>
  <c r="I350" i="6"/>
  <c r="M349" i="6"/>
  <c r="L349" i="6"/>
  <c r="K349" i="6"/>
  <c r="J349" i="6"/>
  <c r="I349" i="6"/>
  <c r="M348" i="6"/>
  <c r="L348" i="6"/>
  <c r="K348" i="6"/>
  <c r="J348" i="6"/>
  <c r="I348" i="6"/>
  <c r="K347" i="6"/>
  <c r="L347" i="6"/>
  <c r="M347" i="6"/>
  <c r="J347" i="6"/>
  <c r="I347" i="6"/>
  <c r="M346" i="6"/>
  <c r="L346" i="6"/>
  <c r="K346" i="6"/>
  <c r="J346" i="6"/>
  <c r="I346" i="6"/>
  <c r="I345" i="6"/>
  <c r="M345" i="6"/>
  <c r="L345" i="6"/>
  <c r="K345" i="6"/>
  <c r="J345" i="6"/>
  <c r="I344" i="6"/>
  <c r="M344" i="6"/>
  <c r="L344" i="6"/>
  <c r="K344" i="6"/>
  <c r="J344" i="6"/>
  <c r="K343" i="6"/>
  <c r="L343" i="6"/>
  <c r="M343" i="6"/>
  <c r="J343" i="6"/>
  <c r="I343" i="6"/>
  <c r="M342" i="6"/>
  <c r="L342" i="6"/>
  <c r="K342" i="6"/>
  <c r="J342" i="6"/>
  <c r="I342" i="6"/>
  <c r="I341" i="6"/>
  <c r="M341" i="6"/>
  <c r="L341" i="6"/>
  <c r="K341" i="6"/>
  <c r="J341" i="6"/>
  <c r="M340" i="6"/>
  <c r="L340" i="6"/>
  <c r="K340" i="6"/>
  <c r="J340" i="6"/>
  <c r="I340" i="6"/>
  <c r="M339" i="6"/>
  <c r="L339" i="6"/>
  <c r="K339" i="6"/>
  <c r="J339" i="6"/>
  <c r="I339" i="6"/>
  <c r="M338" i="6"/>
  <c r="L338" i="6"/>
  <c r="K338" i="6"/>
  <c r="J338" i="6"/>
  <c r="I338" i="6"/>
  <c r="J337" i="6"/>
  <c r="I337" i="6"/>
  <c r="I336" i="6"/>
  <c r="L336" i="6"/>
  <c r="K336" i="6"/>
  <c r="M336" i="6"/>
  <c r="J336" i="6"/>
  <c r="M335" i="6"/>
  <c r="K335" i="6"/>
  <c r="J335" i="6"/>
  <c r="L335" i="6"/>
  <c r="I335" i="6"/>
  <c r="L334" i="6"/>
  <c r="I334" i="6"/>
  <c r="J334" i="6"/>
  <c r="K334" i="6"/>
  <c r="M334" i="6"/>
  <c r="M333" i="6"/>
  <c r="L333" i="6"/>
  <c r="J333" i="6"/>
  <c r="I333" i="6"/>
  <c r="K333" i="6"/>
  <c r="J332" i="6"/>
  <c r="K332" i="6"/>
  <c r="I332" i="6"/>
  <c r="L332" i="6"/>
  <c r="M332" i="6"/>
  <c r="J331" i="6"/>
  <c r="I331" i="6"/>
  <c r="M331" i="6"/>
  <c r="L331" i="6"/>
  <c r="K331" i="6"/>
  <c r="M330" i="6"/>
  <c r="L330" i="6"/>
  <c r="K330" i="6"/>
  <c r="J330" i="6"/>
  <c r="I330" i="6"/>
  <c r="M329" i="6"/>
  <c r="L329" i="6"/>
  <c r="K329" i="6"/>
  <c r="J329" i="6"/>
  <c r="I329" i="6"/>
  <c r="J328" i="6"/>
  <c r="I328" i="6"/>
  <c r="K328" i="6"/>
  <c r="M328" i="6"/>
  <c r="L328" i="6"/>
  <c r="I327" i="6"/>
  <c r="J327" i="6"/>
  <c r="K327" i="6"/>
  <c r="L327" i="6"/>
  <c r="M327" i="6"/>
  <c r="J326" i="6"/>
  <c r="I326" i="6"/>
  <c r="M326" i="6"/>
  <c r="L326" i="6"/>
  <c r="K326" i="6"/>
  <c r="J325" i="6"/>
  <c r="K325" i="6"/>
  <c r="I325" i="6"/>
  <c r="M325" i="6"/>
  <c r="L325" i="6"/>
  <c r="M324" i="6"/>
  <c r="L324" i="6"/>
  <c r="I324" i="6"/>
  <c r="K324" i="6"/>
  <c r="J324" i="6"/>
  <c r="M323" i="6"/>
  <c r="L323" i="6"/>
  <c r="K323" i="6"/>
  <c r="J323" i="6"/>
  <c r="I323" i="6"/>
  <c r="M322" i="6"/>
  <c r="L322" i="6"/>
  <c r="K322" i="6"/>
  <c r="J322" i="6"/>
  <c r="I322" i="6"/>
  <c r="J321" i="6"/>
  <c r="I321" i="6"/>
  <c r="K321" i="6"/>
  <c r="M321" i="6"/>
  <c r="L321" i="6"/>
  <c r="I320" i="6"/>
  <c r="J320" i="6"/>
  <c r="K320" i="6"/>
  <c r="L320" i="6"/>
  <c r="M320" i="6"/>
  <c r="J319" i="6"/>
  <c r="I319" i="6"/>
  <c r="M319" i="6"/>
  <c r="L319" i="6"/>
  <c r="K319" i="6"/>
  <c r="M318" i="6"/>
  <c r="K318" i="6"/>
  <c r="J318" i="6"/>
  <c r="I318" i="6"/>
  <c r="L318" i="6"/>
  <c r="I317" i="6"/>
  <c r="L317" i="6"/>
  <c r="M317" i="6"/>
  <c r="K317" i="6"/>
  <c r="J317" i="6"/>
  <c r="M316" i="6"/>
  <c r="L316" i="6"/>
  <c r="K316" i="6"/>
  <c r="J316" i="6"/>
  <c r="I316" i="6"/>
  <c r="M315" i="6"/>
  <c r="L315" i="6"/>
  <c r="K315" i="6"/>
  <c r="J315" i="6"/>
  <c r="I315" i="6"/>
  <c r="L314" i="6"/>
  <c r="K314" i="6"/>
  <c r="J314" i="6"/>
  <c r="I314" i="6"/>
  <c r="M314" i="6"/>
  <c r="M313" i="6"/>
  <c r="L313" i="6"/>
  <c r="K313" i="6"/>
  <c r="J313" i="6"/>
  <c r="I313" i="6"/>
  <c r="M312" i="6"/>
  <c r="L312" i="6"/>
  <c r="K312" i="6"/>
  <c r="J312" i="6"/>
  <c r="I312" i="6"/>
  <c r="J311" i="6"/>
  <c r="L311" i="6"/>
  <c r="K311" i="6"/>
  <c r="M311" i="6"/>
  <c r="I311" i="6"/>
  <c r="M310" i="6"/>
  <c r="L310" i="6"/>
  <c r="K310" i="6"/>
  <c r="J310" i="6"/>
  <c r="I310" i="6"/>
  <c r="M309" i="6"/>
  <c r="L309" i="6"/>
  <c r="J309" i="6"/>
  <c r="I309" i="6"/>
  <c r="K309" i="6"/>
  <c r="M308" i="6"/>
  <c r="L308" i="6"/>
  <c r="K308" i="6"/>
  <c r="J308" i="6"/>
  <c r="I308" i="6"/>
  <c r="I307" i="6"/>
  <c r="K307" i="6"/>
  <c r="J307" i="6"/>
  <c r="M307" i="6"/>
  <c r="L307" i="6"/>
  <c r="M306" i="6"/>
  <c r="L306" i="6"/>
  <c r="K306" i="6"/>
  <c r="J306" i="6"/>
  <c r="I306" i="6"/>
  <c r="M305" i="6"/>
  <c r="L305" i="6"/>
  <c r="K305" i="6"/>
  <c r="J305" i="6"/>
  <c r="I305" i="6"/>
  <c r="K304" i="6"/>
  <c r="M304" i="6"/>
  <c r="J304" i="6"/>
  <c r="I304" i="6"/>
  <c r="L304" i="6"/>
  <c r="L303" i="6"/>
  <c r="K303" i="6"/>
  <c r="J303" i="6"/>
  <c r="I303" i="6"/>
  <c r="M303" i="6"/>
  <c r="M302" i="6"/>
  <c r="L302" i="6"/>
  <c r="K302" i="6"/>
  <c r="J302" i="6"/>
  <c r="I302" i="6"/>
  <c r="M301" i="6"/>
  <c r="L301" i="6"/>
  <c r="K301" i="6"/>
  <c r="J301" i="6"/>
  <c r="I301" i="6"/>
  <c r="M300" i="6"/>
  <c r="L300" i="6"/>
  <c r="K300" i="6"/>
  <c r="J300" i="6"/>
  <c r="I300" i="6"/>
  <c r="M299" i="6"/>
  <c r="L299" i="6"/>
  <c r="K299" i="6"/>
  <c r="I299" i="6"/>
  <c r="J299" i="6"/>
  <c r="M298" i="6"/>
  <c r="L298" i="6"/>
  <c r="K298" i="6"/>
  <c r="J298" i="6"/>
  <c r="I298" i="6"/>
  <c r="M297" i="6"/>
  <c r="L297" i="6"/>
  <c r="K297" i="6"/>
  <c r="J297" i="6"/>
  <c r="I297" i="6"/>
  <c r="M296" i="6"/>
  <c r="L296" i="6"/>
  <c r="K296" i="6"/>
  <c r="J296" i="6"/>
  <c r="I296" i="6"/>
  <c r="M295" i="6"/>
  <c r="L295" i="6"/>
  <c r="K295" i="6"/>
  <c r="J295" i="6"/>
  <c r="I295" i="6"/>
  <c r="J294" i="6"/>
  <c r="K294" i="6"/>
  <c r="M294" i="6"/>
  <c r="I294" i="6"/>
  <c r="L294" i="6"/>
  <c r="L293" i="6"/>
  <c r="I293" i="6"/>
  <c r="M293" i="6"/>
  <c r="K293" i="6"/>
  <c r="J293" i="6"/>
  <c r="M292" i="6"/>
  <c r="L292" i="6"/>
  <c r="K292" i="6"/>
  <c r="J292" i="6"/>
  <c r="I292" i="6"/>
  <c r="M291" i="6"/>
  <c r="L291" i="6"/>
  <c r="K291" i="6"/>
  <c r="J291" i="6"/>
  <c r="I291" i="6"/>
  <c r="M290" i="6"/>
  <c r="L290" i="6"/>
  <c r="K290" i="6"/>
  <c r="J290" i="6"/>
  <c r="I290" i="6"/>
  <c r="J289" i="6"/>
  <c r="I289" i="6"/>
  <c r="K289" i="6"/>
  <c r="M289" i="6"/>
  <c r="L289" i="6"/>
  <c r="M288" i="6"/>
  <c r="I288" i="6"/>
  <c r="J288" i="6"/>
  <c r="K288" i="6"/>
  <c r="L288" i="6"/>
  <c r="M287" i="6"/>
  <c r="L287" i="6"/>
  <c r="K287" i="6"/>
  <c r="J287" i="6"/>
  <c r="I287" i="6"/>
  <c r="M286" i="6"/>
  <c r="K286" i="6"/>
  <c r="J286" i="6"/>
  <c r="I286" i="6"/>
  <c r="L286" i="6"/>
  <c r="M285" i="6"/>
  <c r="L285" i="6"/>
  <c r="K285" i="6"/>
  <c r="J285" i="6"/>
  <c r="I285" i="6"/>
  <c r="J284" i="6"/>
  <c r="M284" i="6"/>
  <c r="K284" i="6"/>
  <c r="I284" i="6"/>
  <c r="L284" i="6"/>
  <c r="M283" i="6"/>
  <c r="L283" i="6"/>
  <c r="K283" i="6"/>
  <c r="J283" i="6"/>
  <c r="I283" i="6"/>
  <c r="M282" i="6"/>
  <c r="L282" i="6"/>
  <c r="K282" i="6"/>
  <c r="J282" i="6"/>
  <c r="I282" i="6"/>
  <c r="M281" i="6"/>
  <c r="L281" i="6"/>
  <c r="K281" i="6"/>
  <c r="J281" i="6"/>
  <c r="I281" i="6"/>
  <c r="K280" i="6"/>
  <c r="I280" i="6"/>
  <c r="J280" i="6"/>
  <c r="M280" i="6"/>
  <c r="L280" i="6"/>
  <c r="K279" i="6"/>
  <c r="J279" i="6"/>
  <c r="I279" i="6"/>
  <c r="M279" i="6"/>
  <c r="L279" i="6"/>
  <c r="K278" i="6"/>
  <c r="J278" i="6"/>
  <c r="I278" i="6"/>
  <c r="M278" i="6"/>
  <c r="L278" i="6"/>
  <c r="K277" i="6"/>
  <c r="J277" i="6"/>
  <c r="I277" i="6"/>
  <c r="M277" i="6"/>
  <c r="L277" i="6"/>
  <c r="K276" i="6"/>
  <c r="J276" i="6"/>
  <c r="I276" i="6"/>
  <c r="M276" i="6"/>
  <c r="L276" i="6"/>
  <c r="K275" i="6"/>
  <c r="I275" i="6"/>
  <c r="J275" i="6"/>
  <c r="M275" i="6"/>
  <c r="L275" i="6"/>
  <c r="I274" i="6"/>
  <c r="M274" i="6"/>
  <c r="L274" i="6"/>
  <c r="K274" i="6"/>
  <c r="J274" i="6"/>
  <c r="I273" i="6"/>
  <c r="J273" i="6"/>
  <c r="K273" i="6"/>
  <c r="L273" i="6"/>
  <c r="M273" i="6"/>
  <c r="I272" i="6"/>
  <c r="J272" i="6"/>
  <c r="K272" i="6"/>
  <c r="L272" i="6"/>
  <c r="M272" i="6"/>
  <c r="M271" i="6"/>
  <c r="L271" i="6"/>
  <c r="K271" i="6"/>
  <c r="J271" i="6"/>
  <c r="I271" i="6"/>
  <c r="J270" i="6"/>
  <c r="M270" i="6"/>
  <c r="L270" i="6"/>
  <c r="I270" i="6"/>
  <c r="K270" i="6"/>
  <c r="J269" i="6"/>
  <c r="I269" i="6"/>
  <c r="M269" i="6"/>
  <c r="L269" i="6"/>
  <c r="K269" i="6"/>
  <c r="J268" i="6"/>
  <c r="I268" i="6"/>
  <c r="M268" i="6"/>
  <c r="L268" i="6"/>
  <c r="K268" i="6"/>
  <c r="J267" i="6"/>
  <c r="M267" i="6"/>
  <c r="L267" i="6"/>
  <c r="K267" i="6"/>
  <c r="I267" i="6"/>
  <c r="J266" i="6"/>
  <c r="I266" i="6"/>
  <c r="K266" i="6"/>
  <c r="L266" i="6"/>
  <c r="M266" i="6"/>
  <c r="J265" i="6"/>
  <c r="I265" i="6"/>
  <c r="M265" i="6"/>
  <c r="L265" i="6"/>
  <c r="K265" i="6"/>
  <c r="M264" i="6"/>
  <c r="L264" i="6"/>
  <c r="K264" i="6"/>
  <c r="J264" i="6"/>
  <c r="I264" i="6"/>
  <c r="J263" i="6"/>
  <c r="I263" i="6"/>
  <c r="M263" i="6"/>
  <c r="L263" i="6"/>
  <c r="K263" i="6"/>
  <c r="M262" i="6"/>
  <c r="L262" i="6"/>
  <c r="K262" i="6"/>
  <c r="J262" i="6"/>
  <c r="I262" i="6"/>
  <c r="J261" i="6"/>
  <c r="I261" i="6"/>
  <c r="K261" i="6"/>
  <c r="M261" i="6"/>
  <c r="L261" i="6"/>
  <c r="I260" i="6"/>
  <c r="K260" i="6"/>
  <c r="M260" i="6"/>
  <c r="J260" i="6"/>
  <c r="L260" i="6"/>
  <c r="K259" i="6"/>
  <c r="L259" i="6"/>
  <c r="M259" i="6"/>
  <c r="J259" i="6"/>
  <c r="I259" i="6"/>
  <c r="L258" i="6"/>
  <c r="J258" i="6"/>
  <c r="K258" i="6"/>
  <c r="I258" i="6"/>
  <c r="M258" i="6"/>
  <c r="M257" i="6"/>
  <c r="I257" i="6"/>
  <c r="L257" i="6"/>
  <c r="K257" i="6"/>
  <c r="J257" i="6"/>
  <c r="L256" i="6"/>
  <c r="J256" i="6"/>
  <c r="K256" i="6"/>
  <c r="I256" i="6"/>
  <c r="M256" i="6"/>
  <c r="K255" i="6"/>
  <c r="I255" i="6"/>
  <c r="J255" i="6"/>
  <c r="L255" i="6"/>
  <c r="M255" i="6"/>
  <c r="J254" i="6"/>
  <c r="L254" i="6"/>
  <c r="I254" i="6"/>
  <c r="K254" i="6"/>
  <c r="M254" i="6"/>
  <c r="M253" i="6"/>
  <c r="L253" i="6"/>
  <c r="J253" i="6"/>
  <c r="K253" i="6"/>
  <c r="L252" i="6"/>
  <c r="M252" i="6"/>
  <c r="K252" i="6"/>
  <c r="J252" i="6"/>
  <c r="I252" i="6"/>
  <c r="I251" i="6"/>
  <c r="L251" i="6"/>
  <c r="J251" i="6"/>
  <c r="M251" i="6"/>
  <c r="K251" i="6"/>
  <c r="M250" i="6"/>
  <c r="K250" i="6"/>
  <c r="J250" i="6"/>
  <c r="L250" i="6"/>
  <c r="I250" i="6"/>
  <c r="L249" i="6"/>
  <c r="K249" i="6"/>
  <c r="I249" i="6"/>
  <c r="J249" i="6"/>
  <c r="M249" i="6"/>
  <c r="L248" i="6"/>
  <c r="I248" i="6"/>
  <c r="J248" i="6"/>
  <c r="K248" i="6"/>
  <c r="M248" i="6"/>
  <c r="M247" i="6"/>
  <c r="L247" i="6"/>
  <c r="K247" i="6"/>
  <c r="I247" i="6"/>
  <c r="J247" i="6"/>
  <c r="J246" i="6"/>
  <c r="I246" i="6"/>
  <c r="L246" i="6"/>
  <c r="K246" i="6"/>
  <c r="M245" i="6"/>
  <c r="L245" i="6"/>
  <c r="K245" i="6"/>
  <c r="J245" i="6"/>
  <c r="I245" i="6"/>
  <c r="I244" i="6"/>
  <c r="M244" i="6"/>
  <c r="L244" i="6"/>
  <c r="K244" i="6"/>
  <c r="J244" i="6"/>
  <c r="K243" i="6"/>
  <c r="J243" i="6"/>
  <c r="I243" i="6"/>
  <c r="L243" i="6"/>
  <c r="M243" i="6"/>
  <c r="K242" i="6"/>
  <c r="I242" i="6"/>
  <c r="J242" i="6"/>
  <c r="L242" i="6"/>
  <c r="M242" i="6"/>
  <c r="K241" i="6"/>
  <c r="J241" i="6"/>
  <c r="L241" i="6"/>
  <c r="M241" i="6"/>
  <c r="I241" i="6"/>
  <c r="M240" i="6"/>
  <c r="L240" i="6"/>
  <c r="K240" i="6"/>
  <c r="J240" i="6"/>
  <c r="I240" i="6"/>
  <c r="L239" i="6"/>
  <c r="J239" i="6"/>
  <c r="M239" i="6"/>
  <c r="K239" i="6"/>
  <c r="I239" i="6"/>
  <c r="K238" i="6"/>
  <c r="J238" i="6"/>
  <c r="I238" i="6"/>
  <c r="M238" i="6"/>
  <c r="L238" i="6"/>
  <c r="M237" i="6"/>
  <c r="L237" i="6"/>
  <c r="K237" i="6"/>
  <c r="J237" i="6"/>
  <c r="I237" i="6"/>
  <c r="M236" i="6"/>
  <c r="L236" i="6"/>
  <c r="K236" i="6"/>
  <c r="J236" i="6"/>
  <c r="I236" i="6"/>
  <c r="L235" i="6"/>
  <c r="M235" i="6"/>
  <c r="I235" i="6"/>
  <c r="J235" i="6"/>
  <c r="K235" i="6"/>
  <c r="L234" i="6"/>
  <c r="M234" i="6"/>
  <c r="K234" i="6"/>
  <c r="J234" i="6"/>
  <c r="I234" i="6"/>
  <c r="M233" i="6"/>
  <c r="L233" i="6"/>
  <c r="K233" i="6"/>
  <c r="J233" i="6"/>
  <c r="I233" i="6"/>
  <c r="I232" i="6"/>
  <c r="J232" i="6"/>
  <c r="K232" i="6"/>
  <c r="L232" i="6"/>
  <c r="M232" i="6"/>
  <c r="I231" i="6"/>
  <c r="K231" i="6"/>
  <c r="L231" i="6"/>
  <c r="M231" i="6"/>
  <c r="J231" i="6"/>
  <c r="L230" i="6"/>
  <c r="I230" i="6"/>
  <c r="M230" i="6"/>
  <c r="K230" i="6"/>
  <c r="J230" i="6"/>
  <c r="L229" i="6"/>
  <c r="J229" i="6"/>
  <c r="I229" i="6"/>
  <c r="K229" i="6"/>
  <c r="M229" i="6"/>
  <c r="J228" i="6"/>
  <c r="L228" i="6"/>
  <c r="K228" i="6"/>
  <c r="I228" i="6"/>
  <c r="M228" i="6"/>
  <c r="J227" i="6"/>
  <c r="I227" i="6"/>
  <c r="M227" i="6"/>
  <c r="K227" i="6"/>
  <c r="L227" i="6"/>
  <c r="K226" i="6"/>
  <c r="J226" i="6"/>
  <c r="L226" i="6"/>
  <c r="I226" i="6"/>
  <c r="M226" i="6"/>
  <c r="L225" i="6"/>
  <c r="M225" i="6"/>
  <c r="K225" i="6"/>
  <c r="I225" i="6"/>
  <c r="J225" i="6"/>
  <c r="I224" i="6"/>
  <c r="L224" i="6"/>
  <c r="M224" i="6"/>
  <c r="K224" i="6"/>
  <c r="J224" i="6"/>
  <c r="M223" i="6"/>
  <c r="K223" i="6"/>
  <c r="I223" i="6"/>
  <c r="L223" i="6"/>
  <c r="J223" i="6"/>
  <c r="I222" i="6"/>
  <c r="M222" i="6"/>
  <c r="K222" i="6"/>
  <c r="J222" i="6"/>
  <c r="L222" i="6"/>
  <c r="J221" i="6"/>
  <c r="I221" i="6"/>
  <c r="L221" i="6"/>
  <c r="K221" i="6"/>
  <c r="M221" i="6"/>
  <c r="L220" i="6"/>
  <c r="J220" i="6"/>
  <c r="M220" i="6"/>
  <c r="I220" i="6"/>
  <c r="K220" i="6"/>
  <c r="K219" i="6"/>
  <c r="L219" i="6"/>
  <c r="M219" i="6"/>
  <c r="J219" i="6"/>
  <c r="I219" i="6"/>
  <c r="J218" i="6"/>
  <c r="I218" i="6"/>
  <c r="L218" i="6"/>
  <c r="K218" i="6"/>
  <c r="M218" i="6"/>
  <c r="M217" i="6"/>
  <c r="J217" i="6"/>
  <c r="L217" i="6"/>
  <c r="K217" i="6"/>
  <c r="I217" i="6"/>
  <c r="L216" i="6"/>
  <c r="K216" i="6"/>
  <c r="J216" i="6"/>
  <c r="M216" i="6"/>
  <c r="I216" i="6"/>
  <c r="K215" i="6"/>
  <c r="J215" i="6"/>
  <c r="I215" i="6"/>
  <c r="M215" i="6"/>
  <c r="L215" i="6"/>
  <c r="K214" i="6"/>
  <c r="J214" i="6"/>
  <c r="M214" i="6"/>
  <c r="I214" i="6"/>
  <c r="L214" i="6"/>
  <c r="M213" i="6"/>
  <c r="J213" i="6"/>
  <c r="I213" i="6"/>
  <c r="K213" i="6"/>
  <c r="L213" i="6"/>
  <c r="M212" i="6"/>
  <c r="L212" i="6"/>
  <c r="I212" i="6"/>
  <c r="K212" i="6"/>
  <c r="J212" i="6"/>
  <c r="M211" i="6"/>
  <c r="K211" i="6"/>
  <c r="I211" i="6"/>
  <c r="J211" i="6"/>
  <c r="L210" i="6"/>
  <c r="K210" i="6"/>
  <c r="J210" i="6"/>
  <c r="I210" i="6"/>
  <c r="M210" i="6"/>
  <c r="M209" i="6"/>
  <c r="K209" i="6"/>
  <c r="L209" i="6"/>
  <c r="I209" i="6"/>
  <c r="J209" i="6"/>
  <c r="I208" i="6"/>
  <c r="M208" i="6"/>
  <c r="L208" i="6"/>
  <c r="J208" i="6"/>
  <c r="K208" i="6"/>
  <c r="L207" i="6"/>
  <c r="I207" i="6"/>
  <c r="J207" i="6"/>
  <c r="M207" i="6"/>
  <c r="K207" i="6"/>
  <c r="J206" i="6"/>
  <c r="M206" i="6"/>
  <c r="L206" i="6"/>
  <c r="K206" i="6"/>
  <c r="I206" i="6"/>
  <c r="J205" i="6"/>
  <c r="M205" i="6"/>
  <c r="I205" i="6"/>
  <c r="L205" i="6"/>
  <c r="K205" i="6"/>
  <c r="L204" i="6"/>
  <c r="M204" i="6"/>
  <c r="K204" i="6"/>
  <c r="J204" i="6"/>
  <c r="I204" i="6"/>
  <c r="M203" i="6"/>
  <c r="I203" i="6"/>
  <c r="L203" i="6"/>
  <c r="J203" i="6"/>
  <c r="K203" i="6"/>
  <c r="I202" i="6"/>
  <c r="M202" i="6"/>
  <c r="L202" i="6"/>
  <c r="K202" i="6"/>
  <c r="J202" i="6"/>
  <c r="K201" i="6"/>
  <c r="L201" i="6"/>
  <c r="J201" i="6"/>
  <c r="I201" i="6"/>
  <c r="M201" i="6"/>
  <c r="K200" i="6"/>
  <c r="L200" i="6"/>
  <c r="J200" i="6"/>
  <c r="I200" i="6"/>
  <c r="M200" i="6"/>
  <c r="M199" i="6"/>
  <c r="L199" i="6"/>
  <c r="J199" i="6"/>
  <c r="K199" i="6"/>
  <c r="K198" i="6"/>
  <c r="M198" i="6"/>
  <c r="L198" i="6"/>
  <c r="J198" i="6"/>
  <c r="I198" i="6"/>
  <c r="K197" i="6"/>
  <c r="L197" i="6"/>
  <c r="I197" i="6"/>
  <c r="J197" i="6"/>
  <c r="M197" i="6"/>
  <c r="K196" i="6"/>
  <c r="J196" i="6"/>
  <c r="M196" i="6"/>
  <c r="L196" i="6"/>
  <c r="I196" i="6"/>
  <c r="I195" i="6"/>
  <c r="L195" i="6"/>
  <c r="K195" i="6"/>
  <c r="M195" i="6"/>
  <c r="J195" i="6"/>
  <c r="M194" i="6"/>
  <c r="K194" i="6"/>
  <c r="J194" i="6"/>
  <c r="L194" i="6"/>
  <c r="I194" i="6"/>
  <c r="J193" i="6"/>
  <c r="I193" i="6"/>
  <c r="K193" i="6"/>
  <c r="M193" i="6"/>
  <c r="L193" i="6"/>
  <c r="J192" i="6"/>
  <c r="L192" i="6"/>
  <c r="M192" i="6"/>
  <c r="I192" i="6"/>
  <c r="K192" i="6"/>
  <c r="J191" i="6"/>
  <c r="K191" i="6"/>
  <c r="L191" i="6"/>
  <c r="M191" i="6"/>
  <c r="I191" i="6"/>
  <c r="K190" i="6"/>
  <c r="J190" i="6"/>
  <c r="I190" i="6"/>
  <c r="L190" i="6"/>
  <c r="M190" i="6"/>
  <c r="L189" i="6"/>
  <c r="M189" i="6"/>
  <c r="K189" i="6"/>
  <c r="I189" i="6"/>
  <c r="J189" i="6"/>
  <c r="M188" i="6"/>
  <c r="L188" i="6"/>
  <c r="I188" i="6"/>
  <c r="J188" i="6"/>
  <c r="K188" i="6"/>
  <c r="L187" i="6"/>
  <c r="M187" i="6"/>
  <c r="J187" i="6"/>
  <c r="K187" i="6"/>
  <c r="I187" i="6"/>
  <c r="K186" i="6"/>
  <c r="L186" i="6"/>
  <c r="J186" i="6"/>
  <c r="I186" i="6"/>
  <c r="M186" i="6"/>
  <c r="L185" i="6"/>
  <c r="I185" i="6"/>
  <c r="M185" i="6"/>
  <c r="K185" i="6"/>
  <c r="J185" i="6"/>
  <c r="K184" i="6"/>
  <c r="M184" i="6"/>
  <c r="I184" i="6"/>
  <c r="L184" i="6"/>
  <c r="J184" i="6"/>
  <c r="K183" i="6"/>
  <c r="J183" i="6"/>
  <c r="I183" i="6"/>
  <c r="M183" i="6"/>
  <c r="L183" i="6"/>
  <c r="L182" i="6"/>
  <c r="J182" i="6"/>
  <c r="K182" i="6"/>
  <c r="M182" i="6"/>
  <c r="I182" i="6"/>
  <c r="L181" i="6"/>
  <c r="M181" i="6"/>
  <c r="I181" i="6"/>
  <c r="K181" i="6"/>
  <c r="J181" i="6"/>
  <c r="I180" i="6"/>
  <c r="K180" i="6"/>
  <c r="J180" i="6"/>
  <c r="M180" i="6"/>
  <c r="L180" i="6"/>
  <c r="L179" i="6"/>
  <c r="J179" i="6"/>
  <c r="K179" i="6"/>
  <c r="I179" i="6"/>
  <c r="M179" i="6"/>
  <c r="K178" i="6"/>
  <c r="J178" i="6"/>
  <c r="I178" i="6"/>
  <c r="M178" i="6"/>
  <c r="L178" i="6"/>
  <c r="L177" i="6"/>
  <c r="I177" i="6"/>
  <c r="M177" i="6"/>
  <c r="J177" i="6"/>
  <c r="K177" i="6"/>
  <c r="M176" i="6"/>
  <c r="I176" i="6"/>
  <c r="J176" i="6"/>
  <c r="L176" i="6"/>
  <c r="K176" i="6"/>
  <c r="K175" i="6"/>
  <c r="J175" i="6"/>
  <c r="L175" i="6"/>
  <c r="M175" i="6"/>
  <c r="I175" i="6"/>
  <c r="M174" i="6"/>
  <c r="I174" i="6"/>
  <c r="J174" i="6"/>
  <c r="L174" i="6"/>
  <c r="K174" i="6"/>
  <c r="J173" i="6"/>
  <c r="L173" i="6"/>
  <c r="K173" i="6"/>
  <c r="I173" i="6"/>
  <c r="M173" i="6"/>
  <c r="K172" i="6"/>
  <c r="J172" i="6"/>
  <c r="I172" i="6"/>
  <c r="L172" i="6"/>
  <c r="M172" i="6"/>
  <c r="M171" i="6"/>
  <c r="L171" i="6"/>
  <c r="I171" i="6"/>
  <c r="K171" i="6"/>
  <c r="J171" i="6"/>
  <c r="M170" i="6"/>
  <c r="L170" i="6"/>
  <c r="J170" i="6"/>
  <c r="I170" i="6"/>
  <c r="K170" i="6"/>
  <c r="K169" i="6"/>
  <c r="L169" i="6"/>
  <c r="I169" i="6"/>
  <c r="J169" i="6"/>
  <c r="M169" i="6"/>
  <c r="M168" i="6"/>
  <c r="L168" i="6"/>
  <c r="J168" i="6"/>
  <c r="K168" i="6"/>
  <c r="I168" i="6"/>
  <c r="L167" i="6"/>
  <c r="I167" i="6"/>
  <c r="M167" i="6"/>
  <c r="K167" i="6"/>
  <c r="J167" i="6"/>
  <c r="AA131" i="6"/>
  <c r="AA135" i="6" s="1"/>
  <c r="AC135" i="6" s="1"/>
  <c r="AA121" i="6"/>
  <c r="AC121" i="6" s="1"/>
  <c r="N105" i="4"/>
  <c r="N126" i="4"/>
  <c r="N91" i="4"/>
  <c r="G27" i="4" s="1" a="1"/>
  <c r="G27" i="4" s="1"/>
  <c r="H27" i="4" s="1"/>
  <c r="N117" i="4"/>
  <c r="N115" i="4"/>
  <c r="N99" i="4"/>
  <c r="K441" i="4"/>
  <c r="J441" i="4"/>
  <c r="N103" i="4"/>
  <c r="N110" i="4"/>
  <c r="O70" i="4"/>
  <c r="M143" i="4"/>
  <c r="N143" i="4" s="1"/>
  <c r="AD45" i="4" s="1"/>
  <c r="M142" i="4"/>
  <c r="N142" i="4" s="1"/>
  <c r="AD43" i="4" s="1"/>
  <c r="N144" i="4"/>
  <c r="AD48" i="4" s="1"/>
  <c r="I470" i="4"/>
  <c r="J470" i="4"/>
  <c r="AL67" i="4"/>
  <c r="AC48" i="4" s="1"/>
  <c r="AL66" i="4"/>
  <c r="AC47" i="4" s="1"/>
  <c r="AL64" i="4"/>
  <c r="AC45" i="4" s="1"/>
  <c r="AL63" i="4"/>
  <c r="AC44" i="4" s="1"/>
  <c r="AG44" i="4" s="1"/>
  <c r="AL62" i="4"/>
  <c r="AC43" i="4" s="1"/>
  <c r="AB49" i="4"/>
  <c r="AL61" i="4"/>
  <c r="AC42" i="4" s="1"/>
  <c r="AG42" i="4" s="1"/>
  <c r="AL65" i="4"/>
  <c r="AC46" i="4" s="1"/>
  <c r="AL68" i="4"/>
  <c r="L481" i="4"/>
  <c r="J481" i="4"/>
  <c r="M273" i="4"/>
  <c r="J273" i="4"/>
  <c r="L268" i="4"/>
  <c r="J268" i="4"/>
  <c r="L233" i="4"/>
  <c r="J233" i="4"/>
  <c r="L226" i="4"/>
  <c r="J226" i="4"/>
  <c r="N111" i="4"/>
  <c r="N112" i="4" s="1"/>
  <c r="W107" i="4"/>
  <c r="Z107" i="4" s="1"/>
  <c r="K434" i="4"/>
  <c r="L358" i="4"/>
  <c r="K358" i="4"/>
  <c r="I358" i="4"/>
  <c r="M358" i="4"/>
  <c r="L232" i="4"/>
  <c r="M232" i="4"/>
  <c r="L205" i="4"/>
  <c r="I205" i="4"/>
  <c r="M205" i="4"/>
  <c r="K205" i="4"/>
  <c r="W108" i="4"/>
  <c r="Z108" i="4" s="1"/>
  <c r="AB106" i="4"/>
  <c r="AB105" i="4"/>
  <c r="AA126" i="4"/>
  <c r="AC126" i="4" s="1"/>
  <c r="M510" i="4"/>
  <c r="K510" i="4"/>
  <c r="L510" i="4"/>
  <c r="I510" i="4"/>
  <c r="I509" i="4"/>
  <c r="L509" i="4"/>
  <c r="M509" i="4"/>
  <c r="K509" i="4"/>
  <c r="L508" i="4"/>
  <c r="I508" i="4"/>
  <c r="K508" i="4"/>
  <c r="M508" i="4"/>
  <c r="K507" i="4"/>
  <c r="L507" i="4"/>
  <c r="M507" i="4"/>
  <c r="I507" i="4"/>
  <c r="M506" i="4"/>
  <c r="L506" i="4"/>
  <c r="I506" i="4"/>
  <c r="K506" i="4"/>
  <c r="K505" i="4"/>
  <c r="I505" i="4"/>
  <c r="L505" i="4"/>
  <c r="M505" i="4"/>
  <c r="K504" i="4"/>
  <c r="M504" i="4"/>
  <c r="L504" i="4"/>
  <c r="I504" i="4"/>
  <c r="K503" i="4"/>
  <c r="I503" i="4"/>
  <c r="M503" i="4"/>
  <c r="L503" i="4"/>
  <c r="M502" i="4"/>
  <c r="K502" i="4"/>
  <c r="I502" i="4"/>
  <c r="L502" i="4"/>
  <c r="M501" i="4"/>
  <c r="K501" i="4"/>
  <c r="L501" i="4"/>
  <c r="I501" i="4"/>
  <c r="I500" i="4"/>
  <c r="K500" i="4"/>
  <c r="L500" i="4"/>
  <c r="M500" i="4"/>
  <c r="M499" i="4"/>
  <c r="K499" i="4"/>
  <c r="I499" i="4"/>
  <c r="L499" i="4"/>
  <c r="L498" i="4"/>
  <c r="K498" i="4"/>
  <c r="I498" i="4"/>
  <c r="M498" i="4"/>
  <c r="M497" i="4"/>
  <c r="K497" i="4"/>
  <c r="I497" i="4"/>
  <c r="L497" i="4"/>
  <c r="M496" i="4"/>
  <c r="L496" i="4"/>
  <c r="I496" i="4"/>
  <c r="K496" i="4"/>
  <c r="K495" i="4"/>
  <c r="I495" i="4"/>
  <c r="L495" i="4"/>
  <c r="M495" i="4"/>
  <c r="I494" i="4"/>
  <c r="L494" i="4"/>
  <c r="M494" i="4"/>
  <c r="K494" i="4"/>
  <c r="L493" i="4"/>
  <c r="I493" i="4"/>
  <c r="K493" i="4"/>
  <c r="M493" i="4"/>
  <c r="M492" i="4"/>
  <c r="L492" i="4"/>
  <c r="I492" i="4"/>
  <c r="K492" i="4"/>
  <c r="M491" i="4"/>
  <c r="I491" i="4"/>
  <c r="K491" i="4"/>
  <c r="L491" i="4"/>
  <c r="L490" i="4"/>
  <c r="I490" i="4"/>
  <c r="K490" i="4"/>
  <c r="M490" i="4"/>
  <c r="K489" i="4"/>
  <c r="I489" i="4"/>
  <c r="L489" i="4"/>
  <c r="M489" i="4"/>
  <c r="M488" i="4"/>
  <c r="K488" i="4"/>
  <c r="I488" i="4"/>
  <c r="L488" i="4"/>
  <c r="L487" i="4"/>
  <c r="K487" i="4"/>
  <c r="I487" i="4"/>
  <c r="M487" i="4"/>
  <c r="K486" i="4"/>
  <c r="L486" i="4"/>
  <c r="I486" i="4"/>
  <c r="M486" i="4"/>
  <c r="M485" i="4"/>
  <c r="K485" i="4"/>
  <c r="I485" i="4"/>
  <c r="L485" i="4"/>
  <c r="M484" i="4"/>
  <c r="I484" i="4"/>
  <c r="K484" i="4"/>
  <c r="L484" i="4"/>
  <c r="K483" i="4"/>
  <c r="M483" i="4"/>
  <c r="L483" i="4"/>
  <c r="I483" i="4"/>
  <c r="M482" i="4"/>
  <c r="K482" i="4"/>
  <c r="L482" i="4"/>
  <c r="I482" i="4"/>
  <c r="M481" i="4"/>
  <c r="I481" i="4"/>
  <c r="K481" i="4"/>
  <c r="K480" i="4"/>
  <c r="I480" i="4"/>
  <c r="M480" i="4"/>
  <c r="L480" i="4"/>
  <c r="K479" i="4"/>
  <c r="I479" i="4"/>
  <c r="M479" i="4"/>
  <c r="L479" i="4"/>
  <c r="L478" i="4"/>
  <c r="M478" i="4"/>
  <c r="K478" i="4"/>
  <c r="I478" i="4"/>
  <c r="K477" i="4"/>
  <c r="I477" i="4"/>
  <c r="M477" i="4"/>
  <c r="L477" i="4"/>
  <c r="I476" i="4"/>
  <c r="M476" i="4"/>
  <c r="L476" i="4"/>
  <c r="K476" i="4"/>
  <c r="K475" i="4"/>
  <c r="I475" i="4"/>
  <c r="M475" i="4"/>
  <c r="L475" i="4"/>
  <c r="K474" i="4"/>
  <c r="I474" i="4"/>
  <c r="M474" i="4"/>
  <c r="L474" i="4"/>
  <c r="K473" i="4"/>
  <c r="I473" i="4"/>
  <c r="M473" i="4"/>
  <c r="L473" i="4"/>
  <c r="K472" i="4"/>
  <c r="L472" i="4"/>
  <c r="I472" i="4"/>
  <c r="M472" i="4"/>
  <c r="I471" i="4"/>
  <c r="L471" i="4"/>
  <c r="M471" i="4"/>
  <c r="K471" i="4"/>
  <c r="M470" i="4"/>
  <c r="L470" i="4"/>
  <c r="K470" i="4"/>
  <c r="K469" i="4"/>
  <c r="L469" i="4"/>
  <c r="M469" i="4"/>
  <c r="I469" i="4"/>
  <c r="M468" i="4"/>
  <c r="L468" i="4"/>
  <c r="I468" i="4"/>
  <c r="K468" i="4"/>
  <c r="I467" i="4"/>
  <c r="K467" i="4"/>
  <c r="M467" i="4"/>
  <c r="L467" i="4"/>
  <c r="L466" i="4"/>
  <c r="M466" i="4"/>
  <c r="K466" i="4"/>
  <c r="I466" i="4"/>
  <c r="K465" i="4"/>
  <c r="I465" i="4"/>
  <c r="L465" i="4"/>
  <c r="M465" i="4"/>
  <c r="L464" i="4"/>
  <c r="M464" i="4"/>
  <c r="K464" i="4"/>
  <c r="I464" i="4"/>
  <c r="I463" i="4"/>
  <c r="M463" i="4"/>
  <c r="L463" i="4"/>
  <c r="K463" i="4"/>
  <c r="M462" i="4"/>
  <c r="K462" i="4"/>
  <c r="I462" i="4"/>
  <c r="L462" i="4"/>
  <c r="K461" i="4"/>
  <c r="L461" i="4"/>
  <c r="I461" i="4"/>
  <c r="M461" i="4"/>
  <c r="M460" i="4"/>
  <c r="K460" i="4"/>
  <c r="I460" i="4"/>
  <c r="L460" i="4"/>
  <c r="K459" i="4"/>
  <c r="M459" i="4"/>
  <c r="L459" i="4"/>
  <c r="I459" i="4"/>
  <c r="I458" i="4"/>
  <c r="L458" i="4"/>
  <c r="M458" i="4"/>
  <c r="K458" i="4"/>
  <c r="L457" i="4"/>
  <c r="M457" i="4"/>
  <c r="K457" i="4"/>
  <c r="I457" i="4"/>
  <c r="K456" i="4"/>
  <c r="I456" i="4"/>
  <c r="L456" i="4"/>
  <c r="M456" i="4"/>
  <c r="K455" i="4"/>
  <c r="I455" i="4"/>
  <c r="L455" i="4"/>
  <c r="M455" i="4"/>
  <c r="I454" i="4"/>
  <c r="M454" i="4"/>
  <c r="K454" i="4"/>
  <c r="L454" i="4"/>
  <c r="L453" i="4"/>
  <c r="I453" i="4"/>
  <c r="K453" i="4"/>
  <c r="M453" i="4"/>
  <c r="K452" i="4"/>
  <c r="M452" i="4"/>
  <c r="L452" i="4"/>
  <c r="I452" i="4"/>
  <c r="K451" i="4"/>
  <c r="L451" i="4"/>
  <c r="M451" i="4"/>
  <c r="I451" i="4"/>
  <c r="M450" i="4"/>
  <c r="K450" i="4"/>
  <c r="L450" i="4"/>
  <c r="I450" i="4"/>
  <c r="K449" i="4"/>
  <c r="I449" i="4"/>
  <c r="L449" i="4"/>
  <c r="M449" i="4"/>
  <c r="K448" i="4"/>
  <c r="L448" i="4"/>
  <c r="M448" i="4"/>
  <c r="I448" i="4"/>
  <c r="L447" i="4"/>
  <c r="I447" i="4"/>
  <c r="M447" i="4"/>
  <c r="K447" i="4"/>
  <c r="L446" i="4"/>
  <c r="I446" i="4"/>
  <c r="K446" i="4"/>
  <c r="M446" i="4"/>
  <c r="M445" i="4"/>
  <c r="K445" i="4"/>
  <c r="I445" i="4"/>
  <c r="L445" i="4"/>
  <c r="K444" i="4"/>
  <c r="I444" i="4"/>
  <c r="M444" i="4"/>
  <c r="L444" i="4"/>
  <c r="K443" i="4"/>
  <c r="I443" i="4"/>
  <c r="L443" i="4"/>
  <c r="M443" i="4"/>
  <c r="L442" i="4"/>
  <c r="K442" i="4"/>
  <c r="I442" i="4"/>
  <c r="M442" i="4"/>
  <c r="L441" i="4"/>
  <c r="I441" i="4"/>
  <c r="M441" i="4"/>
  <c r="K440" i="4"/>
  <c r="I440" i="4"/>
  <c r="L440" i="4"/>
  <c r="M440" i="4"/>
  <c r="I439" i="4"/>
  <c r="M439" i="4"/>
  <c r="L439" i="4"/>
  <c r="K439" i="4"/>
  <c r="I438" i="4"/>
  <c r="L438" i="4"/>
  <c r="M438" i="4"/>
  <c r="K438" i="4"/>
  <c r="L437" i="4"/>
  <c r="M437" i="4"/>
  <c r="K437" i="4"/>
  <c r="I437" i="4"/>
  <c r="M436" i="4"/>
  <c r="I436" i="4"/>
  <c r="L436" i="4"/>
  <c r="K436" i="4"/>
  <c r="M435" i="4"/>
  <c r="L435" i="4"/>
  <c r="I435" i="4"/>
  <c r="K435" i="4"/>
  <c r="I434" i="4"/>
  <c r="M434" i="4"/>
  <c r="L434" i="4"/>
  <c r="L433" i="4"/>
  <c r="M433" i="4"/>
  <c r="I433" i="4"/>
  <c r="K433" i="4"/>
  <c r="M432" i="4"/>
  <c r="L432" i="4"/>
  <c r="K432" i="4"/>
  <c r="I432" i="4"/>
  <c r="K431" i="4"/>
  <c r="I431" i="4"/>
  <c r="M431" i="4"/>
  <c r="L431" i="4"/>
  <c r="K430" i="4"/>
  <c r="I430" i="4"/>
  <c r="M430" i="4"/>
  <c r="L430" i="4"/>
  <c r="L429" i="4"/>
  <c r="K429" i="4"/>
  <c r="I429" i="4"/>
  <c r="M429" i="4"/>
  <c r="L428" i="4"/>
  <c r="K428" i="4"/>
  <c r="I428" i="4"/>
  <c r="M428" i="4"/>
  <c r="L427" i="4"/>
  <c r="I427" i="4"/>
  <c r="M427" i="4"/>
  <c r="K427" i="4"/>
  <c r="K426" i="4"/>
  <c r="I426" i="4"/>
  <c r="M426" i="4"/>
  <c r="L426" i="4"/>
  <c r="L425" i="4"/>
  <c r="K425" i="4"/>
  <c r="I425" i="4"/>
  <c r="M425" i="4"/>
  <c r="I424" i="4"/>
  <c r="K424" i="4"/>
  <c r="M424" i="4"/>
  <c r="L424" i="4"/>
  <c r="K423" i="4"/>
  <c r="I423" i="4"/>
  <c r="M423" i="4"/>
  <c r="L423" i="4"/>
  <c r="K422" i="4"/>
  <c r="I422" i="4"/>
  <c r="M422" i="4"/>
  <c r="L422" i="4"/>
  <c r="L421" i="4"/>
  <c r="K421" i="4"/>
  <c r="I421" i="4"/>
  <c r="M421" i="4"/>
  <c r="L420" i="4"/>
  <c r="K420" i="4"/>
  <c r="I420" i="4"/>
  <c r="M420" i="4"/>
  <c r="L419" i="4"/>
  <c r="K419" i="4"/>
  <c r="M419" i="4"/>
  <c r="I419" i="4"/>
  <c r="K418" i="4"/>
  <c r="I418" i="4"/>
  <c r="M418" i="4"/>
  <c r="L418" i="4"/>
  <c r="K417" i="4"/>
  <c r="I417" i="4"/>
  <c r="M417" i="4"/>
  <c r="L417" i="4"/>
  <c r="L416" i="4"/>
  <c r="M416" i="4"/>
  <c r="I416" i="4"/>
  <c r="K416" i="4"/>
  <c r="K415" i="4"/>
  <c r="I415" i="4"/>
  <c r="M415" i="4"/>
  <c r="L415" i="4"/>
  <c r="K414" i="4"/>
  <c r="I414" i="4"/>
  <c r="M414" i="4"/>
  <c r="L414" i="4"/>
  <c r="M413" i="4"/>
  <c r="L413" i="4"/>
  <c r="I413" i="4"/>
  <c r="K413" i="4"/>
  <c r="K412" i="4"/>
  <c r="I412" i="4"/>
  <c r="M412" i="4"/>
  <c r="L412" i="4"/>
  <c r="K411" i="4"/>
  <c r="I411" i="4"/>
  <c r="M411" i="4"/>
  <c r="L411" i="4"/>
  <c r="L410" i="4"/>
  <c r="I410" i="4"/>
  <c r="M410" i="4"/>
  <c r="K410" i="4"/>
  <c r="K409" i="4"/>
  <c r="I409" i="4"/>
  <c r="M409" i="4"/>
  <c r="L409" i="4"/>
  <c r="L408" i="4"/>
  <c r="I408" i="4"/>
  <c r="M408" i="4"/>
  <c r="K408" i="4"/>
  <c r="K407" i="4"/>
  <c r="I407" i="4"/>
  <c r="M407" i="4"/>
  <c r="L407" i="4"/>
  <c r="K406" i="4"/>
  <c r="I406" i="4"/>
  <c r="M406" i="4"/>
  <c r="L406" i="4"/>
  <c r="M405" i="4"/>
  <c r="I405" i="4"/>
  <c r="K405" i="4"/>
  <c r="L405" i="4"/>
  <c r="K404" i="4"/>
  <c r="I404" i="4"/>
  <c r="M404" i="4"/>
  <c r="L404" i="4"/>
  <c r="M403" i="4"/>
  <c r="I403" i="4"/>
  <c r="L403" i="4"/>
  <c r="K403" i="4"/>
  <c r="K402" i="4"/>
  <c r="I402" i="4"/>
  <c r="M402" i="4"/>
  <c r="L402" i="4"/>
  <c r="K401" i="4"/>
  <c r="I401" i="4"/>
  <c r="M401" i="4"/>
  <c r="L401" i="4"/>
  <c r="K400" i="4"/>
  <c r="I400" i="4"/>
  <c r="M400" i="4"/>
  <c r="L400" i="4"/>
  <c r="I399" i="4"/>
  <c r="M399" i="4"/>
  <c r="K399" i="4"/>
  <c r="L399" i="4"/>
  <c r="K398" i="4"/>
  <c r="I398" i="4"/>
  <c r="M398" i="4"/>
  <c r="L398" i="4"/>
  <c r="K397" i="4"/>
  <c r="I397" i="4"/>
  <c r="M397" i="4"/>
  <c r="L397" i="4"/>
  <c r="I396" i="4"/>
  <c r="L396" i="4"/>
  <c r="M396" i="4"/>
  <c r="K396" i="4"/>
  <c r="I395" i="4"/>
  <c r="M395" i="4"/>
  <c r="L395" i="4"/>
  <c r="K395" i="4"/>
  <c r="I394" i="4"/>
  <c r="M394" i="4"/>
  <c r="L394" i="4"/>
  <c r="K394" i="4"/>
  <c r="I393" i="4"/>
  <c r="M393" i="4"/>
  <c r="L393" i="4"/>
  <c r="K393" i="4"/>
  <c r="I392" i="4"/>
  <c r="M392" i="4"/>
  <c r="L392" i="4"/>
  <c r="K392" i="4"/>
  <c r="M391" i="4"/>
  <c r="L391" i="4"/>
  <c r="K391" i="4"/>
  <c r="I391" i="4"/>
  <c r="M390" i="4"/>
  <c r="L390" i="4"/>
  <c r="K390" i="4"/>
  <c r="I390" i="4"/>
  <c r="M389" i="4"/>
  <c r="L389" i="4"/>
  <c r="K389" i="4"/>
  <c r="I389" i="4"/>
  <c r="M388" i="4"/>
  <c r="L388" i="4"/>
  <c r="K388" i="4"/>
  <c r="I388" i="4"/>
  <c r="M387" i="4"/>
  <c r="L387" i="4"/>
  <c r="K387" i="4"/>
  <c r="I387" i="4"/>
  <c r="M386" i="4"/>
  <c r="L386" i="4"/>
  <c r="K386" i="4"/>
  <c r="I386" i="4"/>
  <c r="M385" i="4"/>
  <c r="L385" i="4"/>
  <c r="K385" i="4"/>
  <c r="I385" i="4"/>
  <c r="M384" i="4"/>
  <c r="L384" i="4"/>
  <c r="K384" i="4"/>
  <c r="I384" i="4"/>
  <c r="M383" i="4"/>
  <c r="L383" i="4"/>
  <c r="K383" i="4"/>
  <c r="I383" i="4"/>
  <c r="M382" i="4"/>
  <c r="L382" i="4"/>
  <c r="K382" i="4"/>
  <c r="I382" i="4"/>
  <c r="K381" i="4"/>
  <c r="I381" i="4"/>
  <c r="M381" i="4"/>
  <c r="L381" i="4"/>
  <c r="K380" i="4"/>
  <c r="I380" i="4"/>
  <c r="M380" i="4"/>
  <c r="L380" i="4"/>
  <c r="I379" i="4"/>
  <c r="L379" i="4"/>
  <c r="M379" i="4"/>
  <c r="K379" i="4"/>
  <c r="K378" i="4"/>
  <c r="I378" i="4"/>
  <c r="M378" i="4"/>
  <c r="L378" i="4"/>
  <c r="K377" i="4"/>
  <c r="I377" i="4"/>
  <c r="M377" i="4"/>
  <c r="L377" i="4"/>
  <c r="K376" i="4"/>
  <c r="M376" i="4"/>
  <c r="L376" i="4"/>
  <c r="I376" i="4"/>
  <c r="K375" i="4"/>
  <c r="I375" i="4"/>
  <c r="M375" i="4"/>
  <c r="L375" i="4"/>
  <c r="K374" i="4"/>
  <c r="I374" i="4"/>
  <c r="M374" i="4"/>
  <c r="L374" i="4"/>
  <c r="L373" i="4"/>
  <c r="I373" i="4"/>
  <c r="M373" i="4"/>
  <c r="K373" i="4"/>
  <c r="K372" i="4"/>
  <c r="I372" i="4"/>
  <c r="M372" i="4"/>
  <c r="L372" i="4"/>
  <c r="K371" i="4"/>
  <c r="I371" i="4"/>
  <c r="M371" i="4"/>
  <c r="L371" i="4"/>
  <c r="K370" i="4"/>
  <c r="I370" i="4"/>
  <c r="M370" i="4"/>
  <c r="L370" i="4"/>
  <c r="M369" i="4"/>
  <c r="K369" i="4"/>
  <c r="L369" i="4"/>
  <c r="I369" i="4"/>
  <c r="M368" i="4"/>
  <c r="I368" i="4"/>
  <c r="K368" i="4"/>
  <c r="L368" i="4"/>
  <c r="L367" i="4"/>
  <c r="M367" i="4"/>
  <c r="I367" i="4"/>
  <c r="K367" i="4"/>
  <c r="L366" i="4"/>
  <c r="M366" i="4"/>
  <c r="I366" i="4"/>
  <c r="K366" i="4"/>
  <c r="K365" i="4"/>
  <c r="I365" i="4"/>
  <c r="M365" i="4"/>
  <c r="L365" i="4"/>
  <c r="K364" i="4"/>
  <c r="I364" i="4"/>
  <c r="M364" i="4"/>
  <c r="L364" i="4"/>
  <c r="K363" i="4"/>
  <c r="I363" i="4"/>
  <c r="M363" i="4"/>
  <c r="L363" i="4"/>
  <c r="K362" i="4"/>
  <c r="I362" i="4"/>
  <c r="M362" i="4"/>
  <c r="L362" i="4"/>
  <c r="K361" i="4"/>
  <c r="I361" i="4"/>
  <c r="M361" i="4"/>
  <c r="L361" i="4"/>
  <c r="K360" i="4"/>
  <c r="I360" i="4"/>
  <c r="M360" i="4"/>
  <c r="L360" i="4"/>
  <c r="K359" i="4"/>
  <c r="I359" i="4"/>
  <c r="M359" i="4"/>
  <c r="L359" i="4"/>
  <c r="K357" i="4"/>
  <c r="I357" i="4"/>
  <c r="M357" i="4"/>
  <c r="L357" i="4"/>
  <c r="K356" i="4"/>
  <c r="I356" i="4"/>
  <c r="M356" i="4"/>
  <c r="L356" i="4"/>
  <c r="K355" i="4"/>
  <c r="I355" i="4"/>
  <c r="M355" i="4"/>
  <c r="L355" i="4"/>
  <c r="M354" i="4"/>
  <c r="I354" i="4"/>
  <c r="K354" i="4"/>
  <c r="L354" i="4"/>
  <c r="I353" i="4"/>
  <c r="M353" i="4"/>
  <c r="L353" i="4"/>
  <c r="K353" i="4"/>
  <c r="K352" i="4"/>
  <c r="I352" i="4"/>
  <c r="M352" i="4"/>
  <c r="L352" i="4"/>
  <c r="K351" i="4"/>
  <c r="I351" i="4"/>
  <c r="M351" i="4"/>
  <c r="L351" i="4"/>
  <c r="K350" i="4"/>
  <c r="I350" i="4"/>
  <c r="M350" i="4"/>
  <c r="L350" i="4"/>
  <c r="K349" i="4"/>
  <c r="I349" i="4"/>
  <c r="M349" i="4"/>
  <c r="L349" i="4"/>
  <c r="K348" i="4"/>
  <c r="I348" i="4"/>
  <c r="M348" i="4"/>
  <c r="L348" i="4"/>
  <c r="K347" i="4"/>
  <c r="I347" i="4"/>
  <c r="M347" i="4"/>
  <c r="L347" i="4"/>
  <c r="K346" i="4"/>
  <c r="I346" i="4"/>
  <c r="M346" i="4"/>
  <c r="L346" i="4"/>
  <c r="K345" i="4"/>
  <c r="I345" i="4"/>
  <c r="M345" i="4"/>
  <c r="L345" i="4"/>
  <c r="K344" i="4"/>
  <c r="I344" i="4"/>
  <c r="M344" i="4"/>
  <c r="L344" i="4"/>
  <c r="M343" i="4"/>
  <c r="I343" i="4"/>
  <c r="K343" i="4"/>
  <c r="L343" i="4"/>
  <c r="K342" i="4"/>
  <c r="I342" i="4"/>
  <c r="M342" i="4"/>
  <c r="L342" i="4"/>
  <c r="K341" i="4"/>
  <c r="I341" i="4"/>
  <c r="M341" i="4"/>
  <c r="L341" i="4"/>
  <c r="K340" i="4"/>
  <c r="I340" i="4"/>
  <c r="M340" i="4"/>
  <c r="L340" i="4"/>
  <c r="K339" i="4"/>
  <c r="I339" i="4"/>
  <c r="M339" i="4"/>
  <c r="L339" i="4"/>
  <c r="L338" i="4"/>
  <c r="K338" i="4"/>
  <c r="M338" i="4"/>
  <c r="I338" i="4"/>
  <c r="K337" i="4"/>
  <c r="M337" i="4"/>
  <c r="L337" i="4"/>
  <c r="I337" i="4"/>
  <c r="K336" i="4"/>
  <c r="I336" i="4"/>
  <c r="M336" i="4"/>
  <c r="L336" i="4"/>
  <c r="L335" i="4"/>
  <c r="I335" i="4"/>
  <c r="M335" i="4"/>
  <c r="K335" i="4"/>
  <c r="K334" i="4"/>
  <c r="I334" i="4"/>
  <c r="M334" i="4"/>
  <c r="L334" i="4"/>
  <c r="K333" i="4"/>
  <c r="I333" i="4"/>
  <c r="M333" i="4"/>
  <c r="L333" i="4"/>
  <c r="I332" i="4"/>
  <c r="K332" i="4"/>
  <c r="M332" i="4"/>
  <c r="L332" i="4"/>
  <c r="I331" i="4"/>
  <c r="M331" i="4"/>
  <c r="L331" i="4"/>
  <c r="K331" i="4"/>
  <c r="K330" i="4"/>
  <c r="I330" i="4"/>
  <c r="M330" i="4"/>
  <c r="L330" i="4"/>
  <c r="K329" i="4"/>
  <c r="I329" i="4"/>
  <c r="M329" i="4"/>
  <c r="L329" i="4"/>
  <c r="K328" i="4"/>
  <c r="I328" i="4"/>
  <c r="M328" i="4"/>
  <c r="L328" i="4"/>
  <c r="K327" i="4"/>
  <c r="I327" i="4"/>
  <c r="M327" i="4"/>
  <c r="L327" i="4"/>
  <c r="K326" i="4"/>
  <c r="I326" i="4"/>
  <c r="M326" i="4"/>
  <c r="L326" i="4"/>
  <c r="K325" i="4"/>
  <c r="I325" i="4"/>
  <c r="M325" i="4"/>
  <c r="L325" i="4"/>
  <c r="K324" i="4"/>
  <c r="I324" i="4"/>
  <c r="M324" i="4"/>
  <c r="L324" i="4"/>
  <c r="L323" i="4"/>
  <c r="K323" i="4"/>
  <c r="M323" i="4"/>
  <c r="I323" i="4"/>
  <c r="K322" i="4"/>
  <c r="M322" i="4"/>
  <c r="L322" i="4"/>
  <c r="I322" i="4"/>
  <c r="K321" i="4"/>
  <c r="I321" i="4"/>
  <c r="M321" i="4"/>
  <c r="L321" i="4"/>
  <c r="K320" i="4"/>
  <c r="I320" i="4"/>
  <c r="M320" i="4"/>
  <c r="L320" i="4"/>
  <c r="K319" i="4"/>
  <c r="I319" i="4"/>
  <c r="M319" i="4"/>
  <c r="L319" i="4"/>
  <c r="L318" i="4"/>
  <c r="I318" i="4"/>
  <c r="M318" i="4"/>
  <c r="K318" i="4"/>
  <c r="I317" i="4"/>
  <c r="M317" i="4"/>
  <c r="L317" i="4"/>
  <c r="K317" i="4"/>
  <c r="K316" i="4"/>
  <c r="I316" i="4"/>
  <c r="M316" i="4"/>
  <c r="L316" i="4"/>
  <c r="K315" i="4"/>
  <c r="I315" i="4"/>
  <c r="M315" i="4"/>
  <c r="L315" i="4"/>
  <c r="K314" i="4"/>
  <c r="I314" i="4"/>
  <c r="M314" i="4"/>
  <c r="L314" i="4"/>
  <c r="L313" i="4"/>
  <c r="I313" i="4"/>
  <c r="K313" i="4"/>
  <c r="M313" i="4"/>
  <c r="K312" i="4"/>
  <c r="I312" i="4"/>
  <c r="M312" i="4"/>
  <c r="L312" i="4"/>
  <c r="K311" i="4"/>
  <c r="I311" i="4"/>
  <c r="M311" i="4"/>
  <c r="L311" i="4"/>
  <c r="K310" i="4"/>
  <c r="I310" i="4"/>
  <c r="M310" i="4"/>
  <c r="L310" i="4"/>
  <c r="K309" i="4"/>
  <c r="I309" i="4"/>
  <c r="M309" i="4"/>
  <c r="L309" i="4"/>
  <c r="M308" i="4"/>
  <c r="I308" i="4"/>
  <c r="K308" i="4"/>
  <c r="L308" i="4"/>
  <c r="I307" i="4"/>
  <c r="M307" i="4"/>
  <c r="L307" i="4"/>
  <c r="K307" i="4"/>
  <c r="K306" i="4"/>
  <c r="I306" i="4"/>
  <c r="M306" i="4"/>
  <c r="L306" i="4"/>
  <c r="K305" i="4"/>
  <c r="I305" i="4"/>
  <c r="M305" i="4"/>
  <c r="L305" i="4"/>
  <c r="K304" i="4"/>
  <c r="I304" i="4"/>
  <c r="M304" i="4"/>
  <c r="L304" i="4"/>
  <c r="I303" i="4"/>
  <c r="M303" i="4"/>
  <c r="L303" i="4"/>
  <c r="K303" i="4"/>
  <c r="I302" i="4"/>
  <c r="M302" i="4"/>
  <c r="L302" i="4"/>
  <c r="K302" i="4"/>
  <c r="K301" i="4"/>
  <c r="I301" i="4"/>
  <c r="M301" i="4"/>
  <c r="L301" i="4"/>
  <c r="K300" i="4"/>
  <c r="I300" i="4"/>
  <c r="M300" i="4"/>
  <c r="L300" i="4"/>
  <c r="K299" i="4"/>
  <c r="I299" i="4"/>
  <c r="M299" i="4"/>
  <c r="L299" i="4"/>
  <c r="I298" i="4"/>
  <c r="M298" i="4"/>
  <c r="L298" i="4"/>
  <c r="K298" i="4"/>
  <c r="K297" i="4"/>
  <c r="I297" i="4"/>
  <c r="M297" i="4"/>
  <c r="L297" i="4"/>
  <c r="L296" i="4"/>
  <c r="I296" i="4"/>
  <c r="M296" i="4"/>
  <c r="K296" i="4"/>
  <c r="K295" i="4"/>
  <c r="I295" i="4"/>
  <c r="M295" i="4"/>
  <c r="L295" i="4"/>
  <c r="K294" i="4"/>
  <c r="I294" i="4"/>
  <c r="M294" i="4"/>
  <c r="L294" i="4"/>
  <c r="K293" i="4"/>
  <c r="I293" i="4"/>
  <c r="M293" i="4"/>
  <c r="L293" i="4"/>
  <c r="K292" i="4"/>
  <c r="I292" i="4"/>
  <c r="M292" i="4"/>
  <c r="L292" i="4"/>
  <c r="K291" i="4"/>
  <c r="I291" i="4"/>
  <c r="M291" i="4"/>
  <c r="L291" i="4"/>
  <c r="K290" i="4"/>
  <c r="I290" i="4"/>
  <c r="M290" i="4"/>
  <c r="L290" i="4"/>
  <c r="K289" i="4"/>
  <c r="I289" i="4"/>
  <c r="M289" i="4"/>
  <c r="L289" i="4"/>
  <c r="M288" i="4"/>
  <c r="I288" i="4"/>
  <c r="K288" i="4"/>
  <c r="L288" i="4"/>
  <c r="I287" i="4"/>
  <c r="M287" i="4"/>
  <c r="L287" i="4"/>
  <c r="K287" i="4"/>
  <c r="K286" i="4"/>
  <c r="I286" i="4"/>
  <c r="M286" i="4"/>
  <c r="L286" i="4"/>
  <c r="K285" i="4"/>
  <c r="I285" i="4"/>
  <c r="M285" i="4"/>
  <c r="L285" i="4"/>
  <c r="K284" i="4"/>
  <c r="I284" i="4"/>
  <c r="M284" i="4"/>
  <c r="L284" i="4"/>
  <c r="K283" i="4"/>
  <c r="L283" i="4"/>
  <c r="I283" i="4"/>
  <c r="M283" i="4"/>
  <c r="M282" i="4"/>
  <c r="K282" i="4"/>
  <c r="L282" i="4"/>
  <c r="I282" i="4"/>
  <c r="I281" i="4"/>
  <c r="L281" i="4"/>
  <c r="M281" i="4"/>
  <c r="K281" i="4"/>
  <c r="I280" i="4"/>
  <c r="M280" i="4"/>
  <c r="K280" i="4"/>
  <c r="L280" i="4"/>
  <c r="I279" i="4"/>
  <c r="L279" i="4"/>
  <c r="K279" i="4"/>
  <c r="M279" i="4"/>
  <c r="I278" i="4"/>
  <c r="K278" i="4"/>
  <c r="L278" i="4"/>
  <c r="M278" i="4"/>
  <c r="I277" i="4"/>
  <c r="M277" i="4"/>
  <c r="L277" i="4"/>
  <c r="K277" i="4"/>
  <c r="M276" i="4"/>
  <c r="K276" i="4"/>
  <c r="I276" i="4"/>
  <c r="L276" i="4"/>
  <c r="L275" i="4"/>
  <c r="M275" i="4"/>
  <c r="K275" i="4"/>
  <c r="I275" i="4"/>
  <c r="K274" i="4"/>
  <c r="M274" i="4"/>
  <c r="L274" i="4"/>
  <c r="I274" i="4"/>
  <c r="L273" i="4"/>
  <c r="K273" i="4"/>
  <c r="I273" i="4"/>
  <c r="K272" i="4"/>
  <c r="L272" i="4"/>
  <c r="M272" i="4"/>
  <c r="I272" i="4"/>
  <c r="L271" i="4"/>
  <c r="I271" i="4"/>
  <c r="K271" i="4"/>
  <c r="M271" i="4"/>
  <c r="K270" i="4"/>
  <c r="I270" i="4"/>
  <c r="M270" i="4"/>
  <c r="L270" i="4"/>
  <c r="L269" i="4"/>
  <c r="K269" i="4"/>
  <c r="I269" i="4"/>
  <c r="M269" i="4"/>
  <c r="M268" i="4"/>
  <c r="I268" i="4"/>
  <c r="K268" i="4"/>
  <c r="K267" i="4"/>
  <c r="I267" i="4"/>
  <c r="L267" i="4"/>
  <c r="M267" i="4"/>
  <c r="L266" i="4"/>
  <c r="K266" i="4"/>
  <c r="M266" i="4"/>
  <c r="I266" i="4"/>
  <c r="M265" i="4"/>
  <c r="K265" i="4"/>
  <c r="L265" i="4"/>
  <c r="I265" i="4"/>
  <c r="K264" i="4"/>
  <c r="M264" i="4"/>
  <c r="L264" i="4"/>
  <c r="I264" i="4"/>
  <c r="I263" i="4"/>
  <c r="K263" i="4"/>
  <c r="M263" i="4"/>
  <c r="L263" i="4"/>
  <c r="I262" i="4"/>
  <c r="L262" i="4"/>
  <c r="K262" i="4"/>
  <c r="M262" i="4"/>
  <c r="M261" i="4"/>
  <c r="K261" i="4"/>
  <c r="L261" i="4"/>
  <c r="I261" i="4"/>
  <c r="L260" i="4"/>
  <c r="I260" i="4"/>
  <c r="K260" i="4"/>
  <c r="M260" i="4"/>
  <c r="M259" i="4"/>
  <c r="K259" i="4"/>
  <c r="L259" i="4"/>
  <c r="I259" i="4"/>
  <c r="I258" i="4"/>
  <c r="M258" i="4"/>
  <c r="L258" i="4"/>
  <c r="K258" i="4"/>
  <c r="I257" i="4"/>
  <c r="L257" i="4"/>
  <c r="M257" i="4"/>
  <c r="K257" i="4"/>
  <c r="M256" i="4"/>
  <c r="K256" i="4"/>
  <c r="I256" i="4"/>
  <c r="L256" i="4"/>
  <c r="L255" i="4"/>
  <c r="M255" i="4"/>
  <c r="K255" i="4"/>
  <c r="I255" i="4"/>
  <c r="I254" i="4"/>
  <c r="L254" i="4"/>
  <c r="M254" i="4"/>
  <c r="K254" i="4"/>
  <c r="L253" i="4"/>
  <c r="I253" i="4"/>
  <c r="M253" i="4"/>
  <c r="K253" i="4"/>
  <c r="L252" i="4"/>
  <c r="K252" i="4"/>
  <c r="M252" i="4"/>
  <c r="I252" i="4"/>
  <c r="I251" i="4"/>
  <c r="L251" i="4"/>
  <c r="M251" i="4"/>
  <c r="K251" i="4"/>
  <c r="I250" i="4"/>
  <c r="K250" i="4"/>
  <c r="M250" i="4"/>
  <c r="L250" i="4"/>
  <c r="L249" i="4"/>
  <c r="K249" i="4"/>
  <c r="I249" i="4"/>
  <c r="M249" i="4"/>
  <c r="I248" i="4"/>
  <c r="M248" i="4"/>
  <c r="K248" i="4"/>
  <c r="L248" i="4"/>
  <c r="K247" i="4"/>
  <c r="I247" i="4"/>
  <c r="M247" i="4"/>
  <c r="L247" i="4"/>
  <c r="I246" i="4"/>
  <c r="K246" i="4"/>
  <c r="M246" i="4"/>
  <c r="L246" i="4"/>
  <c r="K245" i="4"/>
  <c r="M245" i="4"/>
  <c r="I245" i="4"/>
  <c r="L245" i="4"/>
  <c r="K244" i="4"/>
  <c r="I244" i="4"/>
  <c r="M244" i="4"/>
  <c r="L244" i="4"/>
  <c r="I243" i="4"/>
  <c r="M243" i="4"/>
  <c r="L243" i="4"/>
  <c r="K243" i="4"/>
  <c r="K242" i="4"/>
  <c r="M242" i="4"/>
  <c r="L242" i="4"/>
  <c r="I242" i="4"/>
  <c r="L241" i="4"/>
  <c r="I241" i="4"/>
  <c r="K241" i="4"/>
  <c r="M241" i="4"/>
  <c r="I240" i="4"/>
  <c r="M240" i="4"/>
  <c r="K240" i="4"/>
  <c r="L240" i="4"/>
  <c r="K239" i="4"/>
  <c r="L239" i="4"/>
  <c r="I239" i="4"/>
  <c r="M239" i="4"/>
  <c r="I238" i="4"/>
  <c r="M238" i="4"/>
  <c r="L238" i="4"/>
  <c r="K238" i="4"/>
  <c r="L237" i="4"/>
  <c r="K237" i="4"/>
  <c r="I237" i="4"/>
  <c r="M237" i="4"/>
  <c r="M236" i="4"/>
  <c r="L236" i="4"/>
  <c r="I236" i="4"/>
  <c r="K236" i="4"/>
  <c r="M235" i="4"/>
  <c r="L235" i="4"/>
  <c r="K235" i="4"/>
  <c r="I235" i="4"/>
  <c r="I234" i="4"/>
  <c r="M234" i="4"/>
  <c r="K234" i="4"/>
  <c r="L234" i="4"/>
  <c r="K233" i="4"/>
  <c r="I233" i="4"/>
  <c r="M233" i="4"/>
  <c r="I232" i="4"/>
  <c r="K232" i="4"/>
  <c r="M231" i="4"/>
  <c r="K231" i="4"/>
  <c r="L231" i="4"/>
  <c r="I231" i="4"/>
  <c r="M230" i="4"/>
  <c r="K230" i="4"/>
  <c r="L230" i="4"/>
  <c r="I230" i="4"/>
  <c r="L229" i="4"/>
  <c r="I229" i="4"/>
  <c r="M229" i="4"/>
  <c r="K229" i="4"/>
  <c r="M228" i="4"/>
  <c r="L228" i="4"/>
  <c r="I228" i="4"/>
  <c r="K228" i="4"/>
  <c r="K227" i="4"/>
  <c r="M227" i="4"/>
  <c r="L227" i="4"/>
  <c r="I227" i="4"/>
  <c r="I226" i="4"/>
  <c r="K226" i="4"/>
  <c r="M226" i="4"/>
  <c r="L225" i="4"/>
  <c r="M225" i="4"/>
  <c r="I225" i="4"/>
  <c r="K225" i="4"/>
  <c r="K224" i="4"/>
  <c r="M224" i="4"/>
  <c r="L224" i="4"/>
  <c r="I224" i="4"/>
  <c r="I223" i="4"/>
  <c r="K223" i="4"/>
  <c r="L223" i="4"/>
  <c r="M223" i="4"/>
  <c r="I222" i="4"/>
  <c r="M222" i="4"/>
  <c r="L222" i="4"/>
  <c r="K222" i="4"/>
  <c r="L221" i="4"/>
  <c r="I221" i="4"/>
  <c r="M221" i="4"/>
  <c r="K221" i="4"/>
  <c r="L220" i="4"/>
  <c r="I220" i="4"/>
  <c r="K220" i="4"/>
  <c r="M220" i="4"/>
  <c r="K219" i="4"/>
  <c r="L219" i="4"/>
  <c r="M219" i="4"/>
  <c r="I219" i="4"/>
  <c r="K218" i="4"/>
  <c r="I218" i="4"/>
  <c r="M218" i="4"/>
  <c r="L218" i="4"/>
  <c r="I217" i="4"/>
  <c r="K217" i="4"/>
  <c r="M217" i="4"/>
  <c r="L217" i="4"/>
  <c r="K216" i="4"/>
  <c r="I216" i="4"/>
  <c r="M216" i="4"/>
  <c r="L216" i="4"/>
  <c r="M215" i="4"/>
  <c r="L215" i="4"/>
  <c r="I215" i="4"/>
  <c r="K215" i="4"/>
  <c r="I214" i="4"/>
  <c r="K214" i="4"/>
  <c r="L214" i="4"/>
  <c r="M214" i="4"/>
  <c r="K213" i="4"/>
  <c r="I213" i="4"/>
  <c r="M213" i="4"/>
  <c r="L213" i="4"/>
  <c r="M212" i="4"/>
  <c r="K212" i="4"/>
  <c r="I212" i="4"/>
  <c r="L212" i="4"/>
  <c r="M211" i="4"/>
  <c r="I211" i="4"/>
  <c r="L211" i="4"/>
  <c r="K211" i="4"/>
  <c r="I210" i="4"/>
  <c r="L210" i="4"/>
  <c r="M210" i="4"/>
  <c r="K210" i="4"/>
  <c r="I209" i="4"/>
  <c r="K209" i="4"/>
  <c r="L209" i="4"/>
  <c r="M209" i="4"/>
  <c r="M208" i="4"/>
  <c r="K208" i="4"/>
  <c r="I208" i="4"/>
  <c r="L208" i="4"/>
  <c r="M207" i="4"/>
  <c r="I207" i="4"/>
  <c r="K207" i="4"/>
  <c r="L207" i="4"/>
  <c r="L206" i="4"/>
  <c r="I206" i="4"/>
  <c r="K206" i="4"/>
  <c r="M206" i="4"/>
  <c r="I204" i="4"/>
  <c r="K204" i="4"/>
  <c r="L204" i="4"/>
  <c r="M204" i="4"/>
  <c r="K203" i="4"/>
  <c r="L203" i="4"/>
  <c r="M203" i="4"/>
  <c r="I203" i="4"/>
  <c r="L202" i="4"/>
  <c r="K202" i="4"/>
  <c r="I202" i="4"/>
  <c r="M202" i="4"/>
  <c r="I201" i="4"/>
  <c r="M201" i="4"/>
  <c r="K201" i="4"/>
  <c r="L201" i="4"/>
  <c r="K200" i="4"/>
  <c r="M200" i="4"/>
  <c r="L200" i="4"/>
  <c r="I200" i="4"/>
  <c r="I199" i="4"/>
  <c r="M199" i="4"/>
  <c r="L199" i="4"/>
  <c r="K199" i="4"/>
  <c r="K198" i="4"/>
  <c r="I198" i="4"/>
  <c r="M198" i="4"/>
  <c r="L198" i="4"/>
  <c r="K197" i="4"/>
  <c r="I197" i="4"/>
  <c r="M197" i="4"/>
  <c r="L197" i="4"/>
  <c r="M196" i="4"/>
  <c r="L196" i="4"/>
  <c r="K196" i="4"/>
  <c r="I196" i="4"/>
  <c r="K195" i="4"/>
  <c r="I195" i="4"/>
  <c r="M195" i="4"/>
  <c r="L195" i="4"/>
  <c r="K194" i="4"/>
  <c r="L194" i="4"/>
  <c r="M194" i="4"/>
  <c r="I194" i="4"/>
  <c r="I193" i="4"/>
  <c r="K193" i="4"/>
  <c r="L193" i="4"/>
  <c r="M193" i="4"/>
  <c r="L192" i="4"/>
  <c r="K192" i="4"/>
  <c r="M192" i="4"/>
  <c r="I192" i="4"/>
  <c r="K191" i="4"/>
  <c r="L191" i="4"/>
  <c r="I191" i="4"/>
  <c r="M191" i="4"/>
  <c r="L190" i="4"/>
  <c r="K190" i="4"/>
  <c r="I190" i="4"/>
  <c r="M190" i="4"/>
  <c r="L189" i="4"/>
  <c r="K189" i="4"/>
  <c r="M189" i="4"/>
  <c r="I189" i="4"/>
  <c r="M188" i="4"/>
  <c r="I188" i="4"/>
  <c r="K188" i="4"/>
  <c r="L188" i="4"/>
  <c r="M187" i="4"/>
  <c r="I187" i="4"/>
  <c r="L187" i="4"/>
  <c r="K187" i="4"/>
  <c r="I186" i="4"/>
  <c r="L186" i="4"/>
  <c r="M186" i="4"/>
  <c r="K186" i="4"/>
  <c r="L185" i="4"/>
  <c r="M185" i="4"/>
  <c r="K185" i="4"/>
  <c r="I185" i="4"/>
  <c r="I184" i="4"/>
  <c r="L184" i="4"/>
  <c r="K184" i="4"/>
  <c r="M184" i="4"/>
  <c r="K183" i="4"/>
  <c r="I183" i="4"/>
  <c r="M183" i="4"/>
  <c r="L183" i="4"/>
  <c r="M182" i="4"/>
  <c r="I182" i="4"/>
  <c r="L182" i="4"/>
  <c r="K182" i="4"/>
  <c r="M181" i="4"/>
  <c r="K181" i="4"/>
  <c r="I181" i="4"/>
  <c r="L181" i="4"/>
  <c r="M180" i="4"/>
  <c r="L180" i="4"/>
  <c r="K180" i="4"/>
  <c r="I180" i="4"/>
  <c r="AA131" i="4"/>
  <c r="AA135" i="4" s="1"/>
  <c r="AC135" i="4" s="1"/>
  <c r="AA121" i="4"/>
  <c r="AC121" i="4" s="1"/>
  <c r="L179" i="4"/>
  <c r="K179" i="4"/>
  <c r="M179" i="4"/>
  <c r="I179" i="4"/>
  <c r="M178" i="4"/>
  <c r="K178" i="4"/>
  <c r="L178" i="4"/>
  <c r="I178" i="4"/>
  <c r="L177" i="4"/>
  <c r="K177" i="4"/>
  <c r="M177" i="4"/>
  <c r="I177" i="4"/>
  <c r="K176" i="4"/>
  <c r="M176" i="4"/>
  <c r="I176" i="4"/>
  <c r="L176" i="4"/>
  <c r="M175" i="4"/>
  <c r="K175" i="4"/>
  <c r="L175" i="4"/>
  <c r="I175" i="4"/>
  <c r="L174" i="4"/>
  <c r="I174" i="4"/>
  <c r="M174" i="4"/>
  <c r="K174" i="4"/>
  <c r="I173" i="4"/>
  <c r="K173" i="4"/>
  <c r="L173" i="4"/>
  <c r="M173" i="4"/>
  <c r="M172" i="4"/>
  <c r="K172" i="4"/>
  <c r="I172" i="4"/>
  <c r="L172" i="4"/>
  <c r="I171" i="4"/>
  <c r="K171" i="4"/>
  <c r="L171" i="4"/>
  <c r="M171" i="4"/>
  <c r="M170" i="4"/>
  <c r="L170" i="4"/>
  <c r="K170" i="4"/>
  <c r="I170" i="4"/>
  <c r="I169" i="4"/>
  <c r="M169" i="4"/>
  <c r="K169" i="4"/>
  <c r="L169" i="4"/>
  <c r="K168" i="4"/>
  <c r="I168" i="4"/>
  <c r="L168" i="4"/>
  <c r="M168" i="4"/>
  <c r="M167" i="4"/>
  <c r="K167" i="4"/>
  <c r="L167" i="4"/>
  <c r="I167" i="4"/>
  <c r="L166" i="4"/>
  <c r="K166" i="4"/>
  <c r="I166" i="4"/>
  <c r="M166" i="4"/>
  <c r="I165" i="4"/>
  <c r="K165" i="4"/>
  <c r="M165" i="4"/>
  <c r="L165" i="4"/>
  <c r="M164" i="4"/>
  <c r="L164" i="4"/>
  <c r="I164" i="4"/>
  <c r="K164" i="4"/>
  <c r="L163" i="4"/>
  <c r="M163" i="4"/>
  <c r="K163" i="4"/>
  <c r="I163" i="4"/>
  <c r="I162" i="4"/>
  <c r="K162" i="4"/>
  <c r="L162" i="4"/>
  <c r="M162" i="4"/>
  <c r="K161" i="4"/>
  <c r="L161" i="4"/>
  <c r="M161" i="4"/>
  <c r="I161" i="4"/>
  <c r="L160" i="4"/>
  <c r="M160" i="4"/>
  <c r="K160" i="4"/>
  <c r="I160" i="4"/>
  <c r="K159" i="4"/>
  <c r="I159" i="4"/>
  <c r="L159" i="4"/>
  <c r="M159" i="4"/>
  <c r="J159" i="4"/>
  <c r="AB110" i="4"/>
  <c r="W109" i="4"/>
  <c r="Z109" i="4" s="1"/>
  <c r="U109" i="1"/>
  <c r="U104" i="1"/>
  <c r="W104" i="1" s="1"/>
  <c r="U114" i="1"/>
  <c r="U118" i="1" s="1"/>
  <c r="W118" i="1" s="1"/>
  <c r="W109" i="1"/>
  <c r="Q90" i="1"/>
  <c r="T90" i="1" s="1"/>
  <c r="Q92" i="1"/>
  <c r="T92" i="1" s="1"/>
  <c r="Q88" i="1"/>
  <c r="V91" i="1"/>
  <c r="V89" i="1"/>
  <c r="Q93" i="1"/>
  <c r="H110" i="1"/>
  <c r="D110" i="1"/>
  <c r="E110" i="1"/>
  <c r="F110" i="1"/>
  <c r="G110" i="1"/>
  <c r="H111" i="1"/>
  <c r="D111" i="1"/>
  <c r="E111" i="1"/>
  <c r="F111" i="1"/>
  <c r="G111" i="1"/>
  <c r="H112" i="1"/>
  <c r="D112" i="1"/>
  <c r="E112" i="1"/>
  <c r="F112" i="1"/>
  <c r="G112" i="1"/>
  <c r="H113" i="1"/>
  <c r="G113" i="1"/>
  <c r="D113" i="1"/>
  <c r="E113" i="1"/>
  <c r="F113" i="1"/>
  <c r="H114" i="1"/>
  <c r="E114" i="1"/>
  <c r="D114" i="1"/>
  <c r="F114" i="1"/>
  <c r="G114" i="1"/>
  <c r="H115" i="1"/>
  <c r="G115" i="1"/>
  <c r="D115" i="1"/>
  <c r="E115" i="1"/>
  <c r="F115" i="1"/>
  <c r="H116" i="1"/>
  <c r="G116" i="1"/>
  <c r="D116" i="1"/>
  <c r="E116" i="1"/>
  <c r="F116" i="1"/>
  <c r="H117" i="1"/>
  <c r="G117" i="1"/>
  <c r="D117" i="1"/>
  <c r="E117" i="1"/>
  <c r="F117" i="1"/>
  <c r="D118" i="1"/>
  <c r="E118" i="1"/>
  <c r="F118" i="1"/>
  <c r="H119" i="1"/>
  <c r="D119" i="1"/>
  <c r="G119" i="1"/>
  <c r="F119" i="1"/>
  <c r="E119" i="1"/>
  <c r="H120" i="1"/>
  <c r="E120" i="1"/>
  <c r="D120" i="1"/>
  <c r="F120" i="1"/>
  <c r="G120" i="1"/>
  <c r="H121" i="1"/>
  <c r="D121" i="1"/>
  <c r="E121" i="1"/>
  <c r="F121" i="1"/>
  <c r="G121" i="1"/>
  <c r="H122" i="1"/>
  <c r="D122" i="1"/>
  <c r="E122" i="1"/>
  <c r="F122" i="1"/>
  <c r="G122" i="1"/>
  <c r="E123" i="1"/>
  <c r="F123" i="1"/>
  <c r="D123" i="1"/>
  <c r="E124" i="1"/>
  <c r="D124" i="1"/>
  <c r="F124" i="1"/>
  <c r="F125" i="1"/>
  <c r="E125" i="1"/>
  <c r="D125" i="1"/>
  <c r="F126" i="1"/>
  <c r="E126" i="1"/>
  <c r="D126" i="1"/>
  <c r="F127" i="1"/>
  <c r="E127" i="1"/>
  <c r="D127" i="1"/>
  <c r="H429" i="1"/>
  <c r="F429" i="1"/>
  <c r="E429" i="1"/>
  <c r="D429" i="1"/>
  <c r="G430" i="1"/>
  <c r="H430" i="1"/>
  <c r="F430" i="1"/>
  <c r="E430" i="1"/>
  <c r="D430" i="1"/>
  <c r="G431" i="1"/>
  <c r="H431" i="1"/>
  <c r="F431" i="1"/>
  <c r="E431" i="1"/>
  <c r="D431" i="1"/>
  <c r="H81" i="1"/>
  <c r="F81" i="1"/>
  <c r="E81" i="1"/>
  <c r="D81" i="1"/>
  <c r="G81" i="1"/>
  <c r="G83" i="1"/>
  <c r="F83" i="1"/>
  <c r="H84" i="1"/>
  <c r="G84" i="1"/>
  <c r="F84" i="1"/>
  <c r="E84" i="1"/>
  <c r="D84" i="1"/>
  <c r="H85" i="1"/>
  <c r="D85" i="1"/>
  <c r="E85" i="1"/>
  <c r="F85" i="1"/>
  <c r="G85" i="1"/>
  <c r="H86" i="1"/>
  <c r="D86" i="1"/>
  <c r="E86" i="1"/>
  <c r="F86" i="1"/>
  <c r="G86" i="1"/>
  <c r="H87" i="1"/>
  <c r="D87" i="1"/>
  <c r="F87" i="1"/>
  <c r="G87" i="1"/>
  <c r="E87" i="1"/>
  <c r="H88" i="1"/>
  <c r="D88" i="1"/>
  <c r="E88" i="1"/>
  <c r="F88" i="1"/>
  <c r="G88" i="1"/>
  <c r="H89" i="1"/>
  <c r="D89" i="1"/>
  <c r="E89" i="1"/>
  <c r="F89" i="1"/>
  <c r="G89" i="1"/>
  <c r="H90" i="1"/>
  <c r="G90" i="1"/>
  <c r="F90" i="1"/>
  <c r="E90" i="1"/>
  <c r="D90" i="1"/>
  <c r="H91" i="1"/>
  <c r="F91" i="1"/>
  <c r="E91" i="1"/>
  <c r="D91" i="1"/>
  <c r="G91" i="1"/>
  <c r="H92" i="1"/>
  <c r="F92" i="1"/>
  <c r="G92" i="1"/>
  <c r="E92" i="1"/>
  <c r="D92" i="1"/>
  <c r="H93" i="1"/>
  <c r="G93" i="1"/>
  <c r="F93" i="1"/>
  <c r="E93" i="1"/>
  <c r="D93" i="1"/>
  <c r="H94" i="1"/>
  <c r="G94" i="1"/>
  <c r="E94" i="1"/>
  <c r="D94" i="1"/>
  <c r="F94" i="1"/>
  <c r="H95" i="1"/>
  <c r="G95" i="1"/>
  <c r="D95" i="1"/>
  <c r="F95" i="1"/>
  <c r="E95" i="1"/>
  <c r="H96" i="1"/>
  <c r="G96" i="1"/>
  <c r="D96" i="1"/>
  <c r="E96" i="1"/>
  <c r="F96" i="1"/>
  <c r="H97" i="1"/>
  <c r="G97" i="1"/>
  <c r="D97" i="1"/>
  <c r="E97" i="1"/>
  <c r="F97" i="1"/>
  <c r="H98" i="1"/>
  <c r="D98" i="1"/>
  <c r="G98" i="1"/>
  <c r="F98" i="1"/>
  <c r="E98" i="1"/>
  <c r="H99" i="1"/>
  <c r="G99" i="1"/>
  <c r="D99" i="1"/>
  <c r="E99" i="1"/>
  <c r="F99" i="1"/>
  <c r="H100" i="1"/>
  <c r="G100" i="1"/>
  <c r="D100" i="1"/>
  <c r="F100" i="1"/>
  <c r="E100" i="1"/>
  <c r="H101" i="1"/>
  <c r="G101" i="1"/>
  <c r="D101" i="1"/>
  <c r="E101" i="1"/>
  <c r="F101" i="1"/>
  <c r="H102" i="1"/>
  <c r="D102" i="1"/>
  <c r="E102" i="1"/>
  <c r="F102" i="1"/>
  <c r="G102" i="1"/>
  <c r="H103" i="1"/>
  <c r="D103" i="1"/>
  <c r="E103" i="1"/>
  <c r="F103" i="1"/>
  <c r="G103" i="1"/>
  <c r="H104" i="1"/>
  <c r="D104" i="1"/>
  <c r="E104" i="1"/>
  <c r="F104" i="1"/>
  <c r="G104" i="1"/>
  <c r="H105" i="1"/>
  <c r="D105" i="1"/>
  <c r="E105" i="1"/>
  <c r="F105" i="1"/>
  <c r="G105" i="1"/>
  <c r="H106" i="1"/>
  <c r="G106" i="1"/>
  <c r="F106" i="1"/>
  <c r="E106" i="1"/>
  <c r="D106" i="1"/>
  <c r="H107" i="1"/>
  <c r="F107" i="1"/>
  <c r="E107" i="1"/>
  <c r="D107" i="1"/>
  <c r="G107" i="1"/>
  <c r="H108" i="1"/>
  <c r="D108" i="1"/>
  <c r="G108" i="1"/>
  <c r="F108" i="1"/>
  <c r="E108" i="1"/>
  <c r="H109" i="1"/>
  <c r="G109" i="1"/>
  <c r="F109" i="1"/>
  <c r="D109" i="1"/>
  <c r="E109" i="1"/>
  <c r="H118" i="1"/>
  <c r="G118" i="1"/>
  <c r="H123" i="1"/>
  <c r="G123" i="1"/>
  <c r="H124" i="1"/>
  <c r="G124" i="1"/>
  <c r="H125" i="1"/>
  <c r="G125" i="1"/>
  <c r="H126" i="1"/>
  <c r="G126" i="1"/>
  <c r="H127" i="1"/>
  <c r="G127" i="1"/>
  <c r="H128" i="1"/>
  <c r="F128" i="1"/>
  <c r="G128" i="1"/>
  <c r="E128" i="1"/>
  <c r="H129" i="1"/>
  <c r="E129" i="1"/>
  <c r="D129" i="1"/>
  <c r="G129" i="1"/>
  <c r="F129" i="1"/>
  <c r="H130" i="1"/>
  <c r="E130" i="1"/>
  <c r="G130" i="1"/>
  <c r="D130" i="1"/>
  <c r="F130" i="1"/>
  <c r="H131" i="1"/>
  <c r="G131" i="1"/>
  <c r="D131" i="1"/>
  <c r="E131" i="1"/>
  <c r="F131" i="1"/>
  <c r="H132" i="1"/>
  <c r="F132" i="1"/>
  <c r="G132" i="1"/>
  <c r="D132" i="1"/>
  <c r="E132" i="1"/>
  <c r="H133" i="1"/>
  <c r="D133" i="1"/>
  <c r="E133" i="1"/>
  <c r="G133" i="1"/>
  <c r="F133" i="1"/>
  <c r="H134" i="1"/>
  <c r="E134" i="1"/>
  <c r="G134" i="1"/>
  <c r="D134" i="1"/>
  <c r="F134" i="1"/>
  <c r="H135" i="1"/>
  <c r="G135" i="1"/>
  <c r="F135" i="1"/>
  <c r="E135" i="1"/>
  <c r="D135" i="1"/>
  <c r="H136" i="1"/>
  <c r="E136" i="1"/>
  <c r="F136" i="1"/>
  <c r="G136" i="1"/>
  <c r="D136" i="1"/>
  <c r="H137" i="1"/>
  <c r="E137" i="1"/>
  <c r="D137" i="1"/>
  <c r="F137" i="1"/>
  <c r="G137" i="1"/>
  <c r="H138" i="1"/>
  <c r="G138" i="1"/>
  <c r="E138" i="1"/>
  <c r="F138" i="1"/>
  <c r="D138" i="1"/>
  <c r="H139" i="1"/>
  <c r="G139" i="1"/>
  <c r="D139" i="1"/>
  <c r="E139" i="1"/>
  <c r="F139" i="1"/>
  <c r="H140" i="1"/>
  <c r="F140" i="1"/>
  <c r="G140" i="1"/>
  <c r="D140" i="1"/>
  <c r="E140" i="1"/>
  <c r="H141" i="1"/>
  <c r="F141" i="1"/>
  <c r="G141" i="1"/>
  <c r="E141" i="1"/>
  <c r="D141" i="1"/>
  <c r="H142" i="1"/>
  <c r="F142" i="1"/>
  <c r="E142" i="1"/>
  <c r="D142" i="1"/>
  <c r="G142" i="1"/>
  <c r="H143" i="1"/>
  <c r="F143" i="1"/>
  <c r="E143" i="1"/>
  <c r="D143" i="1"/>
  <c r="G143" i="1"/>
  <c r="H144" i="1"/>
  <c r="E144" i="1"/>
  <c r="F144" i="1"/>
  <c r="D144" i="1"/>
  <c r="G144" i="1"/>
  <c r="H145" i="1"/>
  <c r="G145" i="1"/>
  <c r="D145" i="1"/>
  <c r="E145" i="1"/>
  <c r="F145" i="1"/>
  <c r="H146" i="1"/>
  <c r="D146" i="1"/>
  <c r="E146" i="1"/>
  <c r="F146" i="1"/>
  <c r="G146" i="1"/>
  <c r="H147" i="1"/>
  <c r="F147" i="1"/>
  <c r="G147" i="1"/>
  <c r="D147" i="1"/>
  <c r="E147" i="1"/>
  <c r="H148" i="1"/>
  <c r="G148" i="1"/>
  <c r="D148" i="1"/>
  <c r="E148" i="1"/>
  <c r="F148" i="1"/>
  <c r="H149" i="1"/>
  <c r="E149" i="1"/>
  <c r="G149" i="1"/>
  <c r="F149" i="1"/>
  <c r="D149" i="1"/>
  <c r="H150" i="1"/>
  <c r="E150" i="1"/>
  <c r="G150" i="1"/>
  <c r="F150" i="1"/>
  <c r="D150" i="1"/>
  <c r="H151" i="1"/>
  <c r="D151" i="1"/>
  <c r="E151" i="1"/>
  <c r="F151" i="1"/>
  <c r="G151" i="1"/>
  <c r="H152" i="1"/>
  <c r="D152" i="1"/>
  <c r="E152" i="1"/>
  <c r="F152" i="1"/>
  <c r="G152" i="1"/>
  <c r="H153" i="1"/>
  <c r="D153" i="1"/>
  <c r="G153" i="1"/>
  <c r="F153" i="1"/>
  <c r="E153" i="1"/>
  <c r="H154" i="1"/>
  <c r="F154" i="1"/>
  <c r="D154" i="1"/>
  <c r="E154" i="1"/>
  <c r="G154" i="1"/>
  <c r="H155" i="1"/>
  <c r="G155" i="1"/>
  <c r="D155" i="1"/>
  <c r="E155" i="1"/>
  <c r="F155" i="1"/>
  <c r="H156" i="1"/>
  <c r="G156" i="1"/>
  <c r="D156" i="1"/>
  <c r="E156" i="1"/>
  <c r="F156" i="1"/>
  <c r="H157" i="1"/>
  <c r="E157" i="1"/>
  <c r="F157" i="1"/>
  <c r="G157" i="1"/>
  <c r="D157" i="1"/>
  <c r="H158" i="1"/>
  <c r="F158" i="1"/>
  <c r="E158" i="1"/>
  <c r="D158" i="1"/>
  <c r="G158" i="1"/>
  <c r="H159" i="1"/>
  <c r="G159" i="1"/>
  <c r="D159" i="1"/>
  <c r="E159" i="1"/>
  <c r="F159" i="1"/>
  <c r="H160" i="1"/>
  <c r="G160" i="1"/>
  <c r="E160" i="1"/>
  <c r="F160" i="1"/>
  <c r="D160" i="1"/>
  <c r="H161" i="1"/>
  <c r="G161" i="1"/>
  <c r="D161" i="1"/>
  <c r="E161" i="1"/>
  <c r="F161" i="1"/>
  <c r="H162" i="1"/>
  <c r="G162" i="1"/>
  <c r="D162" i="1"/>
  <c r="E162" i="1"/>
  <c r="F162" i="1"/>
  <c r="H163" i="1"/>
  <c r="G163" i="1"/>
  <c r="D163" i="1"/>
  <c r="E163" i="1"/>
  <c r="F163" i="1"/>
  <c r="H164" i="1"/>
  <c r="F164" i="1"/>
  <c r="G164" i="1"/>
  <c r="E164" i="1"/>
  <c r="D164" i="1"/>
  <c r="H169" i="1"/>
  <c r="G169" i="1"/>
  <c r="E253" i="1"/>
  <c r="F253" i="1"/>
  <c r="H253" i="1"/>
  <c r="D253" i="1"/>
  <c r="D254" i="1"/>
  <c r="E254" i="1"/>
  <c r="F254" i="1"/>
  <c r="H254" i="1"/>
  <c r="D255" i="1"/>
  <c r="E255" i="1"/>
  <c r="F255" i="1"/>
  <c r="H255" i="1"/>
  <c r="D256" i="1"/>
  <c r="E256" i="1"/>
  <c r="F256" i="1"/>
  <c r="H256" i="1"/>
  <c r="H257" i="1"/>
  <c r="D257" i="1"/>
  <c r="E257" i="1"/>
  <c r="F257" i="1"/>
  <c r="H258" i="1"/>
  <c r="D258" i="1"/>
  <c r="E258" i="1"/>
  <c r="F258" i="1"/>
  <c r="F259" i="1"/>
  <c r="D259" i="1"/>
  <c r="E259" i="1"/>
  <c r="H259" i="1"/>
  <c r="D260" i="1"/>
  <c r="E260" i="1"/>
  <c r="F260" i="1"/>
  <c r="H260" i="1"/>
  <c r="D261" i="1"/>
  <c r="H261" i="1"/>
  <c r="F261" i="1"/>
  <c r="E261" i="1"/>
  <c r="H262" i="1"/>
  <c r="F262" i="1"/>
  <c r="E262" i="1"/>
  <c r="D262" i="1"/>
  <c r="F263" i="1"/>
  <c r="H263" i="1"/>
  <c r="E263" i="1"/>
  <c r="D263" i="1"/>
  <c r="D264" i="1"/>
  <c r="F264" i="1"/>
  <c r="H264" i="1"/>
  <c r="E264" i="1"/>
  <c r="H265" i="1"/>
  <c r="F265" i="1"/>
  <c r="E265" i="1"/>
  <c r="D265" i="1"/>
  <c r="F266" i="1"/>
  <c r="E266" i="1"/>
  <c r="D266" i="1"/>
  <c r="H266" i="1"/>
  <c r="H267" i="1"/>
  <c r="D267" i="1"/>
  <c r="E267" i="1"/>
  <c r="F267" i="1"/>
  <c r="D268" i="1"/>
  <c r="E268" i="1"/>
  <c r="F268" i="1"/>
  <c r="H268" i="1"/>
  <c r="D269" i="1"/>
  <c r="E269" i="1"/>
  <c r="F269" i="1"/>
  <c r="H269" i="1"/>
  <c r="E270" i="1"/>
  <c r="D270" i="1"/>
  <c r="H270" i="1"/>
  <c r="F270" i="1"/>
  <c r="H271" i="1"/>
  <c r="F271" i="1"/>
  <c r="E271" i="1"/>
  <c r="D271" i="1"/>
  <c r="D272" i="1"/>
  <c r="H272" i="1"/>
  <c r="F272" i="1"/>
  <c r="E272" i="1"/>
  <c r="H273" i="1"/>
  <c r="F273" i="1"/>
  <c r="E273" i="1"/>
  <c r="D273" i="1"/>
  <c r="H274" i="1"/>
  <c r="E274" i="1"/>
  <c r="D274" i="1"/>
  <c r="F274" i="1"/>
  <c r="E275" i="1"/>
  <c r="F275" i="1"/>
  <c r="D275" i="1"/>
  <c r="H275" i="1"/>
  <c r="H276" i="1"/>
  <c r="F276" i="1"/>
  <c r="E276" i="1"/>
  <c r="D276" i="1"/>
  <c r="H277" i="1"/>
  <c r="F277" i="1"/>
  <c r="E277" i="1"/>
  <c r="D277" i="1"/>
  <c r="F278" i="1"/>
  <c r="E278" i="1"/>
  <c r="D278" i="1"/>
  <c r="H278" i="1"/>
  <c r="H279" i="1"/>
  <c r="E279" i="1"/>
  <c r="D279" i="1"/>
  <c r="F279" i="1"/>
  <c r="H280" i="1"/>
  <c r="E280" i="1"/>
  <c r="D280" i="1"/>
  <c r="F280" i="1"/>
  <c r="H281" i="1"/>
  <c r="D281" i="1"/>
  <c r="E281" i="1"/>
  <c r="F281" i="1"/>
  <c r="D282" i="1"/>
  <c r="E282" i="1"/>
  <c r="F282" i="1"/>
  <c r="H282" i="1"/>
  <c r="D283" i="1"/>
  <c r="E283" i="1"/>
  <c r="F283" i="1"/>
  <c r="H283" i="1"/>
  <c r="H284" i="1"/>
  <c r="F284" i="1"/>
  <c r="E284" i="1"/>
  <c r="D284" i="1"/>
  <c r="D285" i="1"/>
  <c r="E285" i="1"/>
  <c r="F285" i="1"/>
  <c r="H285" i="1"/>
  <c r="H286" i="1"/>
  <c r="D286" i="1"/>
  <c r="E286" i="1"/>
  <c r="F286" i="1"/>
  <c r="D287" i="1"/>
  <c r="E287" i="1"/>
  <c r="F287" i="1"/>
  <c r="H287" i="1"/>
  <c r="F288" i="1"/>
  <c r="D288" i="1"/>
  <c r="E288" i="1"/>
  <c r="H288" i="1"/>
  <c r="D289" i="1"/>
  <c r="E289" i="1"/>
  <c r="F289" i="1"/>
  <c r="H289" i="1"/>
  <c r="H290" i="1"/>
  <c r="F290" i="1"/>
  <c r="D290" i="1"/>
  <c r="E290" i="1"/>
  <c r="F291" i="1"/>
  <c r="E291" i="1"/>
  <c r="D291" i="1"/>
  <c r="H291" i="1"/>
  <c r="E292" i="1"/>
  <c r="D292" i="1"/>
  <c r="H292" i="1"/>
  <c r="F292" i="1"/>
  <c r="D293" i="1"/>
  <c r="E293" i="1"/>
  <c r="H293" i="1"/>
  <c r="F293" i="1"/>
  <c r="F294" i="1"/>
  <c r="E294" i="1"/>
  <c r="D294" i="1"/>
  <c r="H294" i="1"/>
  <c r="H295" i="1"/>
  <c r="F295" i="1"/>
  <c r="E295" i="1"/>
  <c r="D295" i="1"/>
  <c r="F296" i="1"/>
  <c r="E296" i="1"/>
  <c r="H296" i="1"/>
  <c r="D296" i="1"/>
  <c r="D297" i="1"/>
  <c r="E297" i="1"/>
  <c r="F297" i="1"/>
  <c r="H297" i="1"/>
  <c r="F298" i="1"/>
  <c r="H298" i="1"/>
  <c r="D298" i="1"/>
  <c r="E298" i="1"/>
  <c r="H299" i="1"/>
  <c r="D299" i="1"/>
  <c r="E299" i="1"/>
  <c r="F299" i="1"/>
  <c r="H300" i="1"/>
  <c r="D300" i="1"/>
  <c r="E300" i="1"/>
  <c r="F300" i="1"/>
  <c r="E301" i="1"/>
  <c r="F301" i="1"/>
  <c r="H301" i="1"/>
  <c r="D301" i="1"/>
  <c r="H302" i="1"/>
  <c r="F302" i="1"/>
  <c r="E302" i="1"/>
  <c r="D302" i="1"/>
  <c r="F303" i="1"/>
  <c r="E303" i="1"/>
  <c r="D303" i="1"/>
  <c r="H303" i="1"/>
  <c r="D304" i="1"/>
  <c r="H304" i="1"/>
  <c r="E304" i="1"/>
  <c r="F304" i="1"/>
  <c r="H305" i="1"/>
  <c r="D305" i="1"/>
  <c r="E305" i="1"/>
  <c r="F305" i="1"/>
  <c r="F306" i="1"/>
  <c r="H306" i="1"/>
  <c r="D306" i="1"/>
  <c r="E306" i="1"/>
  <c r="H307" i="1"/>
  <c r="F307" i="1"/>
  <c r="E307" i="1"/>
  <c r="D307" i="1"/>
  <c r="D308" i="1"/>
  <c r="E308" i="1"/>
  <c r="F308" i="1"/>
  <c r="H308" i="1"/>
  <c r="H309" i="1"/>
  <c r="D309" i="1"/>
  <c r="E309" i="1"/>
  <c r="F309" i="1"/>
  <c r="H310" i="1"/>
  <c r="D310" i="1"/>
  <c r="E310" i="1"/>
  <c r="F310" i="1"/>
  <c r="E311" i="1"/>
  <c r="F311" i="1"/>
  <c r="H311" i="1"/>
  <c r="D311" i="1"/>
  <c r="H312" i="1"/>
  <c r="D312" i="1"/>
  <c r="E312" i="1"/>
  <c r="F312" i="1"/>
  <c r="H313" i="1"/>
  <c r="D313" i="1"/>
  <c r="E313" i="1"/>
  <c r="F313" i="1"/>
  <c r="D314" i="1"/>
  <c r="F314" i="1"/>
  <c r="E314" i="1"/>
  <c r="H314" i="1"/>
  <c r="D315" i="1"/>
  <c r="H315" i="1"/>
  <c r="E315" i="1"/>
  <c r="F315" i="1"/>
  <c r="D316" i="1"/>
  <c r="F316" i="1"/>
  <c r="E316" i="1"/>
  <c r="H316" i="1"/>
  <c r="D317" i="1"/>
  <c r="H317" i="1"/>
  <c r="F317" i="1"/>
  <c r="E317" i="1"/>
  <c r="H318" i="1"/>
  <c r="F318" i="1"/>
  <c r="E318" i="1"/>
  <c r="D318" i="1"/>
  <c r="F319" i="1"/>
  <c r="E319" i="1"/>
  <c r="D319" i="1"/>
  <c r="H319" i="1"/>
  <c r="D320" i="1"/>
  <c r="E320" i="1"/>
  <c r="F320" i="1"/>
  <c r="H320" i="1"/>
  <c r="E321" i="1"/>
  <c r="F321" i="1"/>
  <c r="H321" i="1"/>
  <c r="D321" i="1"/>
  <c r="E322" i="1"/>
  <c r="F322" i="1"/>
  <c r="D322" i="1"/>
  <c r="H322" i="1"/>
  <c r="H323" i="1"/>
  <c r="F323" i="1"/>
  <c r="E323" i="1"/>
  <c r="D323" i="1"/>
  <c r="F324" i="1"/>
  <c r="E324" i="1"/>
  <c r="D324" i="1"/>
  <c r="H324" i="1"/>
  <c r="F325" i="1"/>
  <c r="D325" i="1"/>
  <c r="H325" i="1"/>
  <c r="E325" i="1"/>
  <c r="G326" i="1"/>
  <c r="E326" i="1"/>
  <c r="D326" i="1"/>
  <c r="H326" i="1"/>
  <c r="F326" i="1"/>
  <c r="F327" i="1"/>
  <c r="D327" i="1"/>
  <c r="E327" i="1"/>
  <c r="G327" i="1"/>
  <c r="H327" i="1"/>
  <c r="G328" i="1"/>
  <c r="D328" i="1"/>
  <c r="E328" i="1"/>
  <c r="F328" i="1"/>
  <c r="H328" i="1"/>
  <c r="D329" i="1"/>
  <c r="F329" i="1"/>
  <c r="E329" i="1"/>
  <c r="H329" i="1"/>
  <c r="G329" i="1"/>
  <c r="D330" i="1"/>
  <c r="G330" i="1"/>
  <c r="E330" i="1"/>
  <c r="H330" i="1"/>
  <c r="F330" i="1"/>
  <c r="F331" i="1"/>
  <c r="D331" i="1"/>
  <c r="H331" i="1"/>
  <c r="G331" i="1"/>
  <c r="E331" i="1"/>
  <c r="F332" i="1"/>
  <c r="D332" i="1"/>
  <c r="E332" i="1"/>
  <c r="H332" i="1"/>
  <c r="G332" i="1"/>
  <c r="H333" i="1"/>
  <c r="D333" i="1"/>
  <c r="F333" i="1"/>
  <c r="E333" i="1"/>
  <c r="G333" i="1"/>
  <c r="F334" i="1"/>
  <c r="G334" i="1"/>
  <c r="E334" i="1"/>
  <c r="H334" i="1"/>
  <c r="D334" i="1"/>
  <c r="E335" i="1"/>
  <c r="H335" i="1"/>
  <c r="D335" i="1"/>
  <c r="F335" i="1"/>
  <c r="G335" i="1"/>
  <c r="D336" i="1"/>
  <c r="F336" i="1"/>
  <c r="H336" i="1"/>
  <c r="E336" i="1"/>
  <c r="G336" i="1"/>
  <c r="F337" i="1"/>
  <c r="G337" i="1"/>
  <c r="D337" i="1"/>
  <c r="H337" i="1"/>
  <c r="E337" i="1"/>
  <c r="F338" i="1"/>
  <c r="H338" i="1"/>
  <c r="G338" i="1"/>
  <c r="D338" i="1"/>
  <c r="E338" i="1"/>
  <c r="D339" i="1"/>
  <c r="G339" i="1"/>
  <c r="E339" i="1"/>
  <c r="H339" i="1"/>
  <c r="F339" i="1"/>
  <c r="D340" i="1"/>
  <c r="G340" i="1"/>
  <c r="F340" i="1"/>
  <c r="H340" i="1"/>
  <c r="E340" i="1"/>
  <c r="G341" i="1"/>
  <c r="H341" i="1"/>
  <c r="E341" i="1"/>
  <c r="D341" i="1"/>
  <c r="F341" i="1"/>
  <c r="D342" i="1"/>
  <c r="E342" i="1"/>
  <c r="G342" i="1"/>
  <c r="F342" i="1"/>
  <c r="H342" i="1"/>
  <c r="G343" i="1"/>
  <c r="F343" i="1"/>
  <c r="D343" i="1"/>
  <c r="H343" i="1"/>
  <c r="E343" i="1"/>
  <c r="H344" i="1"/>
  <c r="F344" i="1"/>
  <c r="G344" i="1"/>
  <c r="E344" i="1"/>
  <c r="D344" i="1"/>
  <c r="F345" i="1"/>
  <c r="H345" i="1"/>
  <c r="G345" i="1"/>
  <c r="E345" i="1"/>
  <c r="D345" i="1"/>
  <c r="H346" i="1"/>
  <c r="D346" i="1"/>
  <c r="E346" i="1"/>
  <c r="F346" i="1"/>
  <c r="G346" i="1"/>
  <c r="G347" i="1"/>
  <c r="E347" i="1"/>
  <c r="F347" i="1"/>
  <c r="H347" i="1"/>
  <c r="D347" i="1"/>
  <c r="F348" i="1"/>
  <c r="E348" i="1"/>
  <c r="D348" i="1"/>
  <c r="H348" i="1"/>
  <c r="G348" i="1"/>
  <c r="D349" i="1"/>
  <c r="F349" i="1"/>
  <c r="E349" i="1"/>
  <c r="H349" i="1"/>
  <c r="G349" i="1"/>
  <c r="D350" i="1"/>
  <c r="H350" i="1"/>
  <c r="E350" i="1"/>
  <c r="F350" i="1"/>
  <c r="G350" i="1"/>
  <c r="G351" i="1"/>
  <c r="E351" i="1"/>
  <c r="H351" i="1"/>
  <c r="F351" i="1"/>
  <c r="D351" i="1"/>
  <c r="D352" i="1"/>
  <c r="E352" i="1"/>
  <c r="G352" i="1"/>
  <c r="H352" i="1"/>
  <c r="F352" i="1"/>
  <c r="F353" i="1"/>
  <c r="G353" i="1"/>
  <c r="H353" i="1"/>
  <c r="D353" i="1"/>
  <c r="E353" i="1"/>
  <c r="E354" i="1"/>
  <c r="H354" i="1"/>
  <c r="G354" i="1"/>
  <c r="F354" i="1"/>
  <c r="D354" i="1"/>
  <c r="F355" i="1"/>
  <c r="D355" i="1"/>
  <c r="G355" i="1"/>
  <c r="H355" i="1"/>
  <c r="E355" i="1"/>
  <c r="H356" i="1"/>
  <c r="F356" i="1"/>
  <c r="D356" i="1"/>
  <c r="E356" i="1"/>
  <c r="G356" i="1"/>
  <c r="D357" i="1"/>
  <c r="E357" i="1"/>
  <c r="G357" i="1"/>
  <c r="F357" i="1"/>
  <c r="H357" i="1"/>
  <c r="G358" i="1"/>
  <c r="D358" i="1"/>
  <c r="E358" i="1"/>
  <c r="H358" i="1"/>
  <c r="F358" i="1"/>
  <c r="E359" i="1"/>
  <c r="H359" i="1"/>
  <c r="F359" i="1"/>
  <c r="D359" i="1"/>
  <c r="G359" i="1"/>
  <c r="D360" i="1"/>
  <c r="G360" i="1"/>
  <c r="F360" i="1"/>
  <c r="H360" i="1"/>
  <c r="E360" i="1"/>
  <c r="G361" i="1"/>
  <c r="D361" i="1"/>
  <c r="H361" i="1"/>
  <c r="E361" i="1"/>
  <c r="F361" i="1"/>
  <c r="G362" i="1"/>
  <c r="D362" i="1"/>
  <c r="H362" i="1"/>
  <c r="E362" i="1"/>
  <c r="F362" i="1"/>
  <c r="F363" i="1"/>
  <c r="E363" i="1"/>
  <c r="D363" i="1"/>
  <c r="H363" i="1"/>
  <c r="G363" i="1"/>
  <c r="H364" i="1"/>
  <c r="E364" i="1"/>
  <c r="G364" i="1"/>
  <c r="D364" i="1"/>
  <c r="F364" i="1"/>
  <c r="H365" i="1"/>
  <c r="G365" i="1"/>
  <c r="D365" i="1"/>
  <c r="E365" i="1"/>
  <c r="F365" i="1"/>
  <c r="G366" i="1"/>
  <c r="H366" i="1"/>
  <c r="F366" i="1"/>
  <c r="E366" i="1"/>
  <c r="D366" i="1"/>
  <c r="E367" i="1"/>
  <c r="D367" i="1"/>
  <c r="H367" i="1"/>
  <c r="F367" i="1"/>
  <c r="G367" i="1"/>
  <c r="D368" i="1"/>
  <c r="E368" i="1"/>
  <c r="F368" i="1"/>
  <c r="G368" i="1"/>
  <c r="H368" i="1"/>
  <c r="G369" i="1"/>
  <c r="E369" i="1"/>
  <c r="F369" i="1"/>
  <c r="H369" i="1"/>
  <c r="D369" i="1"/>
  <c r="F370" i="1"/>
  <c r="D370" i="1"/>
  <c r="G370" i="1"/>
  <c r="E370" i="1"/>
  <c r="H370" i="1"/>
  <c r="G371" i="1"/>
  <c r="D371" i="1"/>
  <c r="E371" i="1"/>
  <c r="H371" i="1"/>
  <c r="F371" i="1"/>
  <c r="F372" i="1"/>
  <c r="G372" i="1"/>
  <c r="D372" i="1"/>
  <c r="E372" i="1"/>
  <c r="H372" i="1"/>
  <c r="H373" i="1"/>
  <c r="G373" i="1"/>
  <c r="D373" i="1"/>
  <c r="E373" i="1"/>
  <c r="F373" i="1"/>
  <c r="G374" i="1"/>
  <c r="F374" i="1"/>
  <c r="E374" i="1"/>
  <c r="D374" i="1"/>
  <c r="H374" i="1"/>
  <c r="H375" i="1"/>
  <c r="E375" i="1"/>
  <c r="F375" i="1"/>
  <c r="G375" i="1"/>
  <c r="D375" i="1"/>
  <c r="F376" i="1"/>
  <c r="D376" i="1"/>
  <c r="E376" i="1"/>
  <c r="G376" i="1"/>
  <c r="H376" i="1"/>
  <c r="E377" i="1"/>
  <c r="D377" i="1"/>
  <c r="H377" i="1"/>
  <c r="F377" i="1"/>
  <c r="G377" i="1"/>
  <c r="E378" i="1"/>
  <c r="D378" i="1"/>
  <c r="F378" i="1"/>
  <c r="G378" i="1"/>
  <c r="H378" i="1"/>
  <c r="H379" i="1"/>
  <c r="E379" i="1"/>
  <c r="G379" i="1"/>
  <c r="F379" i="1"/>
  <c r="D379" i="1"/>
  <c r="D380" i="1"/>
  <c r="F380" i="1"/>
  <c r="G380" i="1"/>
  <c r="H380" i="1"/>
  <c r="E380" i="1"/>
  <c r="H381" i="1"/>
  <c r="F381" i="1"/>
  <c r="D381" i="1"/>
  <c r="G381" i="1"/>
  <c r="E381" i="1"/>
  <c r="H382" i="1"/>
  <c r="E382" i="1"/>
  <c r="F382" i="1"/>
  <c r="G382" i="1"/>
  <c r="D382" i="1"/>
  <c r="G383" i="1"/>
  <c r="H383" i="1"/>
  <c r="D383" i="1"/>
  <c r="F383" i="1"/>
  <c r="E383" i="1"/>
  <c r="F384" i="1"/>
  <c r="D384" i="1"/>
  <c r="E384" i="1"/>
  <c r="G384" i="1"/>
  <c r="H384" i="1"/>
  <c r="H385" i="1"/>
  <c r="D385" i="1"/>
  <c r="G385" i="1"/>
  <c r="E385" i="1"/>
  <c r="F385" i="1"/>
  <c r="E386" i="1"/>
  <c r="G386" i="1"/>
  <c r="F386" i="1"/>
  <c r="D386" i="1"/>
  <c r="H386" i="1"/>
  <c r="G387" i="1"/>
  <c r="H387" i="1"/>
  <c r="E387" i="1"/>
  <c r="F387" i="1"/>
  <c r="D387" i="1"/>
  <c r="H388" i="1"/>
  <c r="E388" i="1"/>
  <c r="G388" i="1"/>
  <c r="D388" i="1"/>
  <c r="F388" i="1"/>
  <c r="D408" i="1"/>
  <c r="G408" i="1"/>
  <c r="E408" i="1"/>
  <c r="H408" i="1"/>
  <c r="F408" i="1"/>
  <c r="G409" i="1"/>
  <c r="D409" i="1"/>
  <c r="E409" i="1"/>
  <c r="F409" i="1"/>
  <c r="H409" i="1"/>
  <c r="G410" i="1"/>
  <c r="H410" i="1"/>
  <c r="D410" i="1"/>
  <c r="E410" i="1"/>
  <c r="F410" i="1"/>
  <c r="H411" i="1"/>
  <c r="G411" i="1"/>
  <c r="D411" i="1"/>
  <c r="E411" i="1"/>
  <c r="F411" i="1"/>
  <c r="G412" i="1"/>
  <c r="F412" i="1"/>
  <c r="H412" i="1"/>
  <c r="D412" i="1"/>
  <c r="E412" i="1"/>
  <c r="G413" i="1"/>
  <c r="H413" i="1"/>
  <c r="F413" i="1"/>
  <c r="E413" i="1"/>
  <c r="D413" i="1"/>
  <c r="H414" i="1"/>
  <c r="G414" i="1"/>
  <c r="F414" i="1"/>
  <c r="E414" i="1"/>
  <c r="D414" i="1"/>
  <c r="G415" i="1"/>
  <c r="F415" i="1"/>
  <c r="E415" i="1"/>
  <c r="D415" i="1"/>
  <c r="H415" i="1"/>
  <c r="G416" i="1"/>
  <c r="F416" i="1"/>
  <c r="E416" i="1"/>
  <c r="D416" i="1"/>
  <c r="H416" i="1"/>
  <c r="H417" i="1"/>
  <c r="F417" i="1"/>
  <c r="G417" i="1"/>
  <c r="D417" i="1"/>
  <c r="E417" i="1"/>
  <c r="F418" i="1"/>
  <c r="H418" i="1"/>
  <c r="E418" i="1"/>
  <c r="D418" i="1"/>
  <c r="G418" i="1"/>
  <c r="E419" i="1"/>
  <c r="G419" i="1"/>
  <c r="D419" i="1"/>
  <c r="H419" i="1"/>
  <c r="F419" i="1"/>
  <c r="G420" i="1"/>
  <c r="E420" i="1"/>
  <c r="H420" i="1"/>
  <c r="D420" i="1"/>
  <c r="F420" i="1"/>
  <c r="F421" i="1"/>
  <c r="E421" i="1"/>
  <c r="D421" i="1"/>
  <c r="H421" i="1"/>
  <c r="G421" i="1"/>
  <c r="G422" i="1"/>
  <c r="D422" i="1"/>
  <c r="E422" i="1"/>
  <c r="F422" i="1"/>
  <c r="H422" i="1"/>
  <c r="D423" i="1"/>
  <c r="E423" i="1"/>
  <c r="F423" i="1"/>
  <c r="H423" i="1"/>
  <c r="G423" i="1"/>
  <c r="H424" i="1"/>
  <c r="D424" i="1"/>
  <c r="E424" i="1"/>
  <c r="F424" i="1"/>
  <c r="G424" i="1"/>
  <c r="H425" i="1"/>
  <c r="G425" i="1"/>
  <c r="D425" i="1"/>
  <c r="E425" i="1"/>
  <c r="F425" i="1"/>
  <c r="H426" i="1"/>
  <c r="G426" i="1"/>
  <c r="D426" i="1"/>
  <c r="E426" i="1"/>
  <c r="F426" i="1"/>
  <c r="F427" i="1"/>
  <c r="G427" i="1"/>
  <c r="H427" i="1"/>
  <c r="D427" i="1"/>
  <c r="E427" i="1"/>
  <c r="G428" i="1"/>
  <c r="H428" i="1"/>
  <c r="F428" i="1"/>
  <c r="E428" i="1"/>
  <c r="D428" i="1"/>
  <c r="E82" i="1"/>
  <c r="F82" i="1"/>
  <c r="H82" i="1"/>
  <c r="D82" i="1"/>
  <c r="D83" i="1"/>
  <c r="H83" i="1"/>
  <c r="E83" i="1"/>
  <c r="F165" i="1"/>
  <c r="E165" i="1"/>
  <c r="D165" i="1"/>
  <c r="H165" i="1"/>
  <c r="E166" i="1"/>
  <c r="H166" i="1"/>
  <c r="D166" i="1"/>
  <c r="F166" i="1"/>
  <c r="D167" i="1"/>
  <c r="E167" i="1"/>
  <c r="F167" i="1"/>
  <c r="H167" i="1"/>
  <c r="F168" i="1"/>
  <c r="D168" i="1"/>
  <c r="E168" i="1"/>
  <c r="H168" i="1"/>
  <c r="D170" i="1"/>
  <c r="E170" i="1"/>
  <c r="F170" i="1"/>
  <c r="H170" i="1"/>
  <c r="D171" i="1"/>
  <c r="E171" i="1"/>
  <c r="F171" i="1"/>
  <c r="H171" i="1"/>
  <c r="D172" i="1"/>
  <c r="H172" i="1"/>
  <c r="F172" i="1"/>
  <c r="E172" i="1"/>
  <c r="H173" i="1"/>
  <c r="F173" i="1"/>
  <c r="E173" i="1"/>
  <c r="D173" i="1"/>
  <c r="H174" i="1"/>
  <c r="F174" i="1"/>
  <c r="E174" i="1"/>
  <c r="D174" i="1"/>
  <c r="E175" i="1"/>
  <c r="F175" i="1"/>
  <c r="H175" i="1"/>
  <c r="D175" i="1"/>
  <c r="D176" i="1"/>
  <c r="E176" i="1"/>
  <c r="F176" i="1"/>
  <c r="H176" i="1"/>
  <c r="E177" i="1"/>
  <c r="F177" i="1"/>
  <c r="H177" i="1"/>
  <c r="D177" i="1"/>
  <c r="D178" i="1"/>
  <c r="E178" i="1"/>
  <c r="F178" i="1"/>
  <c r="H178" i="1"/>
  <c r="D179" i="1"/>
  <c r="H179" i="1"/>
  <c r="E179" i="1"/>
  <c r="F179" i="1"/>
  <c r="H180" i="1"/>
  <c r="D180" i="1"/>
  <c r="E180" i="1"/>
  <c r="F180" i="1"/>
  <c r="D181" i="1"/>
  <c r="F181" i="1"/>
  <c r="H181" i="1"/>
  <c r="E181" i="1"/>
  <c r="F182" i="1"/>
  <c r="E182" i="1"/>
  <c r="D182" i="1"/>
  <c r="H182" i="1"/>
  <c r="H183" i="1"/>
  <c r="F183" i="1"/>
  <c r="E183" i="1"/>
  <c r="D183" i="1"/>
  <c r="D184" i="1"/>
  <c r="E184" i="1"/>
  <c r="F184" i="1"/>
  <c r="H184" i="1"/>
  <c r="F185" i="1"/>
  <c r="E185" i="1"/>
  <c r="D185" i="1"/>
  <c r="H185" i="1"/>
  <c r="F186" i="1"/>
  <c r="E186" i="1"/>
  <c r="D186" i="1"/>
  <c r="H186" i="1"/>
  <c r="F187" i="1"/>
  <c r="E187" i="1"/>
  <c r="H187" i="1"/>
  <c r="D187" i="1"/>
  <c r="F188" i="1"/>
  <c r="E188" i="1"/>
  <c r="D188" i="1"/>
  <c r="H188" i="1"/>
  <c r="E189" i="1"/>
  <c r="D189" i="1"/>
  <c r="F189" i="1"/>
  <c r="H189" i="1"/>
  <c r="E190" i="1"/>
  <c r="D190" i="1"/>
  <c r="F190" i="1"/>
  <c r="H190" i="1"/>
  <c r="D191" i="1"/>
  <c r="H191" i="1"/>
  <c r="E191" i="1"/>
  <c r="F191" i="1"/>
  <c r="E192" i="1"/>
  <c r="F192" i="1"/>
  <c r="H192" i="1"/>
  <c r="D192" i="1"/>
  <c r="F193" i="1"/>
  <c r="E193" i="1"/>
  <c r="D193" i="1"/>
  <c r="H193" i="1"/>
  <c r="F194" i="1"/>
  <c r="E194" i="1"/>
  <c r="D194" i="1"/>
  <c r="H194" i="1"/>
  <c r="F195" i="1"/>
  <c r="E195" i="1"/>
  <c r="D195" i="1"/>
  <c r="H195" i="1"/>
  <c r="E196" i="1"/>
  <c r="H196" i="1"/>
  <c r="D196" i="1"/>
  <c r="F196" i="1"/>
  <c r="F197" i="1"/>
  <c r="H197" i="1"/>
  <c r="D197" i="1"/>
  <c r="E197" i="1"/>
  <c r="H198" i="1"/>
  <c r="F198" i="1"/>
  <c r="E198" i="1"/>
  <c r="D198" i="1"/>
  <c r="H199" i="1"/>
  <c r="F199" i="1"/>
  <c r="E199" i="1"/>
  <c r="D199" i="1"/>
  <c r="E200" i="1"/>
  <c r="D200" i="1"/>
  <c r="H200" i="1"/>
  <c r="F200" i="1"/>
  <c r="H201" i="1"/>
  <c r="D201" i="1"/>
  <c r="E201" i="1"/>
  <c r="F201" i="1"/>
  <c r="H202" i="1"/>
  <c r="D202" i="1"/>
  <c r="E202" i="1"/>
  <c r="F202" i="1"/>
  <c r="H203" i="1"/>
  <c r="D203" i="1"/>
  <c r="E203" i="1"/>
  <c r="F203" i="1"/>
  <c r="H204" i="1"/>
  <c r="D204" i="1"/>
  <c r="E204" i="1"/>
  <c r="F204" i="1"/>
  <c r="F205" i="1"/>
  <c r="H205" i="1"/>
  <c r="D205" i="1"/>
  <c r="E205" i="1"/>
  <c r="H206" i="1"/>
  <c r="D206" i="1"/>
  <c r="E206" i="1"/>
  <c r="F206" i="1"/>
  <c r="D207" i="1"/>
  <c r="E207" i="1"/>
  <c r="F207" i="1"/>
  <c r="H207" i="1"/>
  <c r="H208" i="1"/>
  <c r="G208" i="1"/>
  <c r="D208" i="1"/>
  <c r="E208" i="1"/>
  <c r="F208" i="1"/>
  <c r="H209" i="1"/>
  <c r="G209" i="1"/>
  <c r="D209" i="1"/>
  <c r="E209" i="1"/>
  <c r="F209" i="1"/>
  <c r="F210" i="1"/>
  <c r="E210" i="1"/>
  <c r="D210" i="1"/>
  <c r="G210" i="1"/>
  <c r="H210" i="1"/>
  <c r="D211" i="1"/>
  <c r="E211" i="1"/>
  <c r="F211" i="1"/>
  <c r="H211" i="1"/>
  <c r="G211" i="1"/>
  <c r="D212" i="1"/>
  <c r="E212" i="1"/>
  <c r="F212" i="1"/>
  <c r="G212" i="1"/>
  <c r="H212" i="1"/>
  <c r="G213" i="1"/>
  <c r="F213" i="1"/>
  <c r="E213" i="1"/>
  <c r="D213" i="1"/>
  <c r="H213" i="1"/>
  <c r="F214" i="1"/>
  <c r="E214" i="1"/>
  <c r="D214" i="1"/>
  <c r="G214" i="1"/>
  <c r="H214" i="1"/>
  <c r="G215" i="1"/>
  <c r="F215" i="1"/>
  <c r="E215" i="1"/>
  <c r="D215" i="1"/>
  <c r="H215" i="1"/>
  <c r="F216" i="1"/>
  <c r="G216" i="1"/>
  <c r="E216" i="1"/>
  <c r="D216" i="1"/>
  <c r="H216" i="1"/>
  <c r="E217" i="1"/>
  <c r="F217" i="1"/>
  <c r="G217" i="1"/>
  <c r="D217" i="1"/>
  <c r="H217" i="1"/>
  <c r="F218" i="1"/>
  <c r="H218" i="1"/>
  <c r="G218" i="1"/>
  <c r="E218" i="1"/>
  <c r="D218" i="1"/>
  <c r="F219" i="1"/>
  <c r="E219" i="1"/>
  <c r="G219" i="1"/>
  <c r="D219" i="1"/>
  <c r="H219" i="1"/>
  <c r="F220" i="1"/>
  <c r="E220" i="1"/>
  <c r="D220" i="1"/>
  <c r="G220" i="1"/>
  <c r="H220" i="1"/>
  <c r="D221" i="1"/>
  <c r="H221" i="1"/>
  <c r="G221" i="1"/>
  <c r="F221" i="1"/>
  <c r="E221" i="1"/>
  <c r="F222" i="1"/>
  <c r="G222" i="1"/>
  <c r="E222" i="1"/>
  <c r="D222" i="1"/>
  <c r="H222" i="1"/>
  <c r="D223" i="1"/>
  <c r="H223" i="1"/>
  <c r="G223" i="1"/>
  <c r="E223" i="1"/>
  <c r="F223" i="1"/>
  <c r="F224" i="1"/>
  <c r="E224" i="1"/>
  <c r="G224" i="1"/>
  <c r="D224" i="1"/>
  <c r="H224" i="1"/>
  <c r="F225" i="1"/>
  <c r="E225" i="1"/>
  <c r="D225" i="1"/>
  <c r="H225" i="1"/>
  <c r="G225" i="1"/>
  <c r="F226" i="1"/>
  <c r="H226" i="1"/>
  <c r="E226" i="1"/>
  <c r="D226" i="1"/>
  <c r="G226" i="1"/>
  <c r="D227" i="1"/>
  <c r="F227" i="1"/>
  <c r="G227" i="1"/>
  <c r="H227" i="1"/>
  <c r="E227" i="1"/>
  <c r="F228" i="1"/>
  <c r="E228" i="1"/>
  <c r="D228" i="1"/>
  <c r="G228" i="1"/>
  <c r="H228" i="1"/>
  <c r="H229" i="1"/>
  <c r="D229" i="1"/>
  <c r="E229" i="1"/>
  <c r="F229" i="1"/>
  <c r="G229" i="1"/>
  <c r="E230" i="1"/>
  <c r="F230" i="1"/>
  <c r="G230" i="1"/>
  <c r="H230" i="1"/>
  <c r="D230" i="1"/>
  <c r="F231" i="1"/>
  <c r="D231" i="1"/>
  <c r="G231" i="1"/>
  <c r="H231" i="1"/>
  <c r="E231" i="1"/>
  <c r="E232" i="1"/>
  <c r="F232" i="1"/>
  <c r="G232" i="1"/>
  <c r="H232" i="1"/>
  <c r="D232" i="1"/>
  <c r="F233" i="1"/>
  <c r="H233" i="1"/>
  <c r="G233" i="1"/>
  <c r="D233" i="1"/>
  <c r="E233" i="1"/>
  <c r="H234" i="1"/>
  <c r="D234" i="1"/>
  <c r="E234" i="1"/>
  <c r="F234" i="1"/>
  <c r="G234" i="1"/>
  <c r="D235" i="1"/>
  <c r="E235" i="1"/>
  <c r="F235" i="1"/>
  <c r="G235" i="1"/>
  <c r="H235" i="1"/>
  <c r="D236" i="1"/>
  <c r="H236" i="1"/>
  <c r="F236" i="1"/>
  <c r="G236" i="1"/>
  <c r="E236" i="1"/>
  <c r="D237" i="1"/>
  <c r="E237" i="1"/>
  <c r="F237" i="1"/>
  <c r="H237" i="1"/>
  <c r="G237" i="1"/>
  <c r="G238" i="1"/>
  <c r="H238" i="1"/>
  <c r="F238" i="1"/>
  <c r="E238" i="1"/>
  <c r="D238" i="1"/>
  <c r="H239" i="1"/>
  <c r="F239" i="1"/>
  <c r="E239" i="1"/>
  <c r="D239" i="1"/>
  <c r="G239" i="1"/>
  <c r="F240" i="1"/>
  <c r="E240" i="1"/>
  <c r="D240" i="1"/>
  <c r="H240" i="1"/>
  <c r="G240" i="1"/>
  <c r="E241" i="1"/>
  <c r="H241" i="1"/>
  <c r="F241" i="1"/>
  <c r="D241" i="1"/>
  <c r="G241" i="1"/>
  <c r="H242" i="1"/>
  <c r="F242" i="1"/>
  <c r="E242" i="1"/>
  <c r="D242" i="1"/>
  <c r="G242" i="1"/>
  <c r="H243" i="1"/>
  <c r="F243" i="1"/>
  <c r="E243" i="1"/>
  <c r="D243" i="1"/>
  <c r="G243" i="1"/>
  <c r="D244" i="1"/>
  <c r="H244" i="1"/>
  <c r="F244" i="1"/>
  <c r="E244" i="1"/>
  <c r="G244" i="1"/>
  <c r="H245" i="1"/>
  <c r="F245" i="1"/>
  <c r="E245" i="1"/>
  <c r="D245" i="1"/>
  <c r="G245" i="1"/>
  <c r="E246" i="1"/>
  <c r="F246" i="1"/>
  <c r="G246" i="1"/>
  <c r="H246" i="1"/>
  <c r="D246" i="1"/>
  <c r="H247" i="1"/>
  <c r="D247" i="1"/>
  <c r="G247" i="1"/>
  <c r="E247" i="1"/>
  <c r="F247" i="1"/>
  <c r="G248" i="1"/>
  <c r="D248" i="1"/>
  <c r="E248" i="1"/>
  <c r="H248" i="1"/>
  <c r="F248" i="1"/>
  <c r="F249" i="1"/>
  <c r="G249" i="1"/>
  <c r="H249" i="1"/>
  <c r="E249" i="1"/>
  <c r="D249" i="1"/>
  <c r="G250" i="1"/>
  <c r="D250" i="1"/>
  <c r="E250" i="1"/>
  <c r="H250" i="1"/>
  <c r="F250" i="1"/>
  <c r="E251" i="1"/>
  <c r="G251" i="1"/>
  <c r="H251" i="1"/>
  <c r="D251" i="1"/>
  <c r="F251" i="1"/>
  <c r="F252" i="1"/>
  <c r="G252" i="1"/>
  <c r="D252" i="1"/>
  <c r="H252" i="1"/>
  <c r="E252" i="1"/>
  <c r="F389" i="1"/>
  <c r="G389" i="1"/>
  <c r="H389" i="1"/>
  <c r="D389" i="1"/>
  <c r="E389" i="1"/>
  <c r="H390" i="1"/>
  <c r="F390" i="1"/>
  <c r="E390" i="1"/>
  <c r="D390" i="1"/>
  <c r="G390" i="1"/>
  <c r="D391" i="1"/>
  <c r="G391" i="1"/>
  <c r="H391" i="1"/>
  <c r="E391" i="1"/>
  <c r="F391" i="1"/>
  <c r="F392" i="1"/>
  <c r="H392" i="1"/>
  <c r="G392" i="1"/>
  <c r="D392" i="1"/>
  <c r="E392" i="1"/>
  <c r="E393" i="1"/>
  <c r="H393" i="1"/>
  <c r="G393" i="1"/>
  <c r="F393" i="1"/>
  <c r="D393" i="1"/>
  <c r="F394" i="1"/>
  <c r="H394" i="1"/>
  <c r="G394" i="1"/>
  <c r="D394" i="1"/>
  <c r="E394" i="1"/>
  <c r="F395" i="1"/>
  <c r="G395" i="1"/>
  <c r="H395" i="1"/>
  <c r="D395" i="1"/>
  <c r="E395" i="1"/>
  <c r="G396" i="1"/>
  <c r="D396" i="1"/>
  <c r="E396" i="1"/>
  <c r="F396" i="1"/>
  <c r="H396" i="1"/>
  <c r="H397" i="1"/>
  <c r="D397" i="1"/>
  <c r="E397" i="1"/>
  <c r="F397" i="1"/>
  <c r="G397" i="1"/>
  <c r="D398" i="1"/>
  <c r="E398" i="1"/>
  <c r="F398" i="1"/>
  <c r="H398" i="1"/>
  <c r="G398" i="1"/>
  <c r="D399" i="1"/>
  <c r="E399" i="1"/>
  <c r="G399" i="1"/>
  <c r="F399" i="1"/>
  <c r="H399" i="1"/>
  <c r="F400" i="1"/>
  <c r="H400" i="1"/>
  <c r="E400" i="1"/>
  <c r="D400" i="1"/>
  <c r="G400" i="1"/>
  <c r="E401" i="1"/>
  <c r="G401" i="1"/>
  <c r="H401" i="1"/>
  <c r="D401" i="1"/>
  <c r="F401" i="1"/>
  <c r="F402" i="1"/>
  <c r="E402" i="1"/>
  <c r="H402" i="1"/>
  <c r="G402" i="1"/>
  <c r="D402" i="1"/>
  <c r="D403" i="1"/>
  <c r="E403" i="1"/>
  <c r="F403" i="1"/>
  <c r="H403" i="1"/>
  <c r="G403" i="1"/>
  <c r="G404" i="1"/>
  <c r="D404" i="1"/>
  <c r="E404" i="1"/>
  <c r="F404" i="1"/>
  <c r="H404" i="1"/>
  <c r="G405" i="1"/>
  <c r="H405" i="1"/>
  <c r="D405" i="1"/>
  <c r="E405" i="1"/>
  <c r="F405" i="1"/>
  <c r="G406" i="1"/>
  <c r="H406" i="1"/>
  <c r="D406" i="1"/>
  <c r="E406" i="1"/>
  <c r="F406" i="1"/>
  <c r="H407" i="1"/>
  <c r="D407" i="1"/>
  <c r="E407" i="1"/>
  <c r="F407" i="1"/>
  <c r="G407" i="1"/>
  <c r="D169" i="1"/>
  <c r="E169" i="1"/>
  <c r="F169" i="1"/>
  <c r="Z49" i="1"/>
  <c r="AQ8" i="9" l="1"/>
  <c r="AT8" i="9" s="1"/>
  <c r="AQ11" i="9"/>
  <c r="AT11" i="9" s="1"/>
  <c r="AQ7" i="9"/>
  <c r="AT7" i="9" s="1"/>
  <c r="AU9" i="9"/>
  <c r="AQ6" i="9"/>
  <c r="AT6" i="9" s="1"/>
  <c r="AQ9" i="9"/>
  <c r="AQ10" i="9"/>
  <c r="AT10" i="9" s="1"/>
  <c r="V51" i="9"/>
  <c r="Q47" i="9" s="1"/>
  <c r="AP31" i="9"/>
  <c r="AP27" i="9"/>
  <c r="AP30" i="9"/>
  <c r="V49" i="9"/>
  <c r="Q48" i="9"/>
  <c r="AP28" i="9"/>
  <c r="AT12" i="9"/>
  <c r="AV33" i="9" s="1"/>
  <c r="AJ49" i="9"/>
  <c r="AJ50" i="9" s="1"/>
  <c r="AH50" i="9" s="1"/>
  <c r="AO19" i="9"/>
  <c r="AP19" i="9" s="1"/>
  <c r="AQ19" i="9" s="1"/>
  <c r="AP32" i="9"/>
  <c r="AY45" i="9"/>
  <c r="AL30" i="9"/>
  <c r="V46" i="9"/>
  <c r="Y37" i="9"/>
  <c r="V47" i="9" s="1"/>
  <c r="AP29" i="9"/>
  <c r="AF27" i="6" a="1"/>
  <c r="AF27" i="6" s="1"/>
  <c r="AI43" i="6" a="1"/>
  <c r="AI43" i="6" s="1"/>
  <c r="V9" i="7"/>
  <c r="U9" i="7"/>
  <c r="T9" i="7"/>
  <c r="AG43" i="4"/>
  <c r="G27" i="6" a="1"/>
  <c r="G27" i="6" s="1"/>
  <c r="O27" i="6" a="1"/>
  <c r="O27" i="6" s="1"/>
  <c r="AK27" i="6" a="1"/>
  <c r="AK27" i="6" s="1"/>
  <c r="AK27" i="4" a="1"/>
  <c r="AL33" i="4" s="1"/>
  <c r="U27" i="4" a="1"/>
  <c r="V31" i="4" s="1"/>
  <c r="AG48" i="4"/>
  <c r="AE27" i="4" a="1"/>
  <c r="H33" i="4"/>
  <c r="H32" i="4"/>
  <c r="H31" i="4"/>
  <c r="H30" i="4"/>
  <c r="H29" i="4"/>
  <c r="H28" i="4"/>
  <c r="X28" i="4"/>
  <c r="N104" i="4"/>
  <c r="O27" i="4" s="1" a="1"/>
  <c r="O27" i="4" s="1"/>
  <c r="P27" i="4" s="1"/>
  <c r="AG45" i="4"/>
  <c r="AG52" i="4" s="1"/>
  <c r="Q42" i="4" s="1"/>
  <c r="X27" i="4"/>
  <c r="AC49" i="4"/>
  <c r="V29" i="4"/>
  <c r="X30" i="4"/>
  <c r="AG46" i="4"/>
  <c r="AC105" i="4"/>
  <c r="AD105" i="4" s="1"/>
  <c r="AC106" i="4"/>
  <c r="AC110" i="4"/>
  <c r="AD110" i="4" s="1"/>
  <c r="S45" i="1"/>
  <c r="S43" i="1"/>
  <c r="T93" i="1"/>
  <c r="S42" i="1" s="1"/>
  <c r="Q48" i="1"/>
  <c r="Z46" i="1"/>
  <c r="AA46" i="1" s="1"/>
  <c r="AE46" i="1" s="1"/>
  <c r="Q42" i="1"/>
  <c r="Z48" i="1"/>
  <c r="AA48" i="1" s="1"/>
  <c r="Z44" i="1"/>
  <c r="AA44" i="1" s="1"/>
  <c r="AE44" i="1" s="1"/>
  <c r="Q47" i="1"/>
  <c r="Q46" i="1"/>
  <c r="Q43" i="1"/>
  <c r="Q45" i="1"/>
  <c r="Z43" i="1"/>
  <c r="AA43" i="1" s="1"/>
  <c r="Z47" i="1"/>
  <c r="AA47" i="1" s="1"/>
  <c r="Z45" i="1"/>
  <c r="AA45" i="1" s="1"/>
  <c r="AE45" i="1" s="1"/>
  <c r="Z42" i="1"/>
  <c r="AA42" i="1" s="1"/>
  <c r="AE42" i="1" s="1"/>
  <c r="AV32" i="9" l="1"/>
  <c r="BA60" i="9"/>
  <c r="AV28" i="9"/>
  <c r="AV29" i="9"/>
  <c r="AT13" i="9"/>
  <c r="AS12" i="9" s="1"/>
  <c r="D40" i="9"/>
  <c r="AV27" i="9"/>
  <c r="AY48" i="9"/>
  <c r="AL33" i="9"/>
  <c r="AA45" i="9"/>
  <c r="U42" i="9" s="1"/>
  <c r="AV31" i="9"/>
  <c r="E43" i="9"/>
  <c r="AF35" i="6" a="1"/>
  <c r="AF35" i="6" s="1"/>
  <c r="AL31" i="4"/>
  <c r="AL29" i="4"/>
  <c r="AK27" i="4"/>
  <c r="AL27" i="4" s="1"/>
  <c r="AL32" i="4"/>
  <c r="AL28" i="4"/>
  <c r="AL30" i="4"/>
  <c r="V32" i="4"/>
  <c r="V30" i="4"/>
  <c r="V28" i="4"/>
  <c r="U27" i="4"/>
  <c r="V33" i="4"/>
  <c r="H37" i="4"/>
  <c r="AF29" i="4"/>
  <c r="AF30" i="4"/>
  <c r="AF32" i="4"/>
  <c r="AF28" i="4"/>
  <c r="AF33" i="4"/>
  <c r="AF31" i="4"/>
  <c r="AE27" i="4"/>
  <c r="AF27" i="4" s="1"/>
  <c r="P32" i="4"/>
  <c r="P29" i="4"/>
  <c r="P33" i="4"/>
  <c r="P28" i="4"/>
  <c r="P30" i="4"/>
  <c r="P31" i="4"/>
  <c r="AB45" i="4"/>
  <c r="AB48" i="4"/>
  <c r="AB43" i="4"/>
  <c r="AB44" i="4"/>
  <c r="AB47" i="4"/>
  <c r="AB42" i="4"/>
  <c r="AB46" i="4"/>
  <c r="N72" i="4"/>
  <c r="N67" i="4"/>
  <c r="N68" i="4"/>
  <c r="N69" i="4"/>
  <c r="N70" i="4"/>
  <c r="P70" i="4" s="1"/>
  <c r="N71" i="4"/>
  <c r="P71" i="4" s="1"/>
  <c r="N66" i="4"/>
  <c r="X37" i="4"/>
  <c r="S52" i="1"/>
  <c r="T88" i="1"/>
  <c r="Q52" i="1"/>
  <c r="AE52" i="1"/>
  <c r="AS8" i="9" l="1"/>
  <c r="AS13" i="9"/>
  <c r="AS9" i="9"/>
  <c r="AY47" i="9"/>
  <c r="AL32" i="9"/>
  <c r="AY42" i="9"/>
  <c r="AV34" i="9"/>
  <c r="AU32" i="9" s="1"/>
  <c r="BA27" i="9"/>
  <c r="D39" i="9" s="1"/>
  <c r="AL27" i="9"/>
  <c r="AY43" i="9"/>
  <c r="AL28" i="9"/>
  <c r="AY46" i="9"/>
  <c r="AL31" i="9"/>
  <c r="AS10" i="9"/>
  <c r="AS7" i="9"/>
  <c r="Y42" i="9"/>
  <c r="AS6" i="9"/>
  <c r="AY44" i="9"/>
  <c r="AL29" i="9"/>
  <c r="AS11" i="9"/>
  <c r="AL34" i="4"/>
  <c r="AL35" i="4" s="1"/>
  <c r="V37" i="4"/>
  <c r="T52" i="1"/>
  <c r="V59" i="1" s="1"/>
  <c r="P37" i="4"/>
  <c r="R48" i="4" s="1"/>
  <c r="V55" i="4"/>
  <c r="U56" i="4" s="1"/>
  <c r="R45" i="4"/>
  <c r="V45" i="4" s="1"/>
  <c r="R46" i="4"/>
  <c r="V46" i="4" s="1"/>
  <c r="U42" i="4"/>
  <c r="AF34" i="4"/>
  <c r="S53" i="4" s="1"/>
  <c r="P76" i="4"/>
  <c r="Q43" i="4" s="1"/>
  <c r="AC111" i="4"/>
  <c r="AD106" i="4"/>
  <c r="W91" i="1"/>
  <c r="X91" i="1" s="1"/>
  <c r="W89" i="1"/>
  <c r="X89" i="1" s="1"/>
  <c r="W94" i="1"/>
  <c r="AU29" i="9" l="1"/>
  <c r="AU31" i="9"/>
  <c r="AU28" i="9"/>
  <c r="AY49" i="9"/>
  <c r="AU34" i="9"/>
  <c r="AX49" i="9" s="1"/>
  <c r="AU33" i="9"/>
  <c r="AL34" i="9"/>
  <c r="U52" i="9" s="1"/>
  <c r="AU27" i="9"/>
  <c r="AD13" i="4"/>
  <c r="R50" i="4" s="1"/>
  <c r="V50" i="4" s="1"/>
  <c r="Y37" i="4"/>
  <c r="S52" i="4"/>
  <c r="U52" i="4"/>
  <c r="U53" i="4"/>
  <c r="V48" i="4"/>
  <c r="U43" i="4"/>
  <c r="AD71" i="4"/>
  <c r="AX45" i="9" l="1"/>
  <c r="AX48" i="9"/>
  <c r="AX44" i="9"/>
  <c r="AX47" i="9"/>
  <c r="V54" i="9"/>
  <c r="U56" i="9"/>
  <c r="AX43" i="9"/>
  <c r="AX46" i="9"/>
  <c r="AX42" i="9"/>
  <c r="R47" i="4"/>
  <c r="V47" i="4" s="1"/>
  <c r="M65" i="4"/>
  <c r="AD70" i="4"/>
  <c r="AD75" i="4" s="1"/>
  <c r="R49" i="4" s="1"/>
  <c r="AB3" i="4"/>
  <c r="AB8" i="4"/>
  <c r="AB5" i="4"/>
  <c r="AC5" i="4" s="1"/>
  <c r="E14" i="7" s="1"/>
  <c r="Q44" i="4" l="1"/>
  <c r="V49" i="4"/>
  <c r="BF69" i="9"/>
  <c r="V56" i="9"/>
  <c r="X56" i="9" s="1"/>
  <c r="X55" i="9" s="1"/>
  <c r="Q45" i="9"/>
  <c r="V14" i="7"/>
  <c r="V15" i="7" s="1"/>
  <c r="T14" i="7"/>
  <c r="T15" i="7" s="1"/>
  <c r="U14" i="7"/>
  <c r="U15" i="7" s="1"/>
  <c r="AA72" i="4"/>
  <c r="AA5" i="4" l="1"/>
  <c r="AA8" i="4"/>
  <c r="AA3" i="4"/>
  <c r="AA6" i="4"/>
  <c r="AA7" i="4"/>
  <c r="AA2" i="4"/>
  <c r="AA4" i="4"/>
  <c r="AA9" i="4"/>
  <c r="T57" i="4"/>
  <c r="V57" i="4"/>
  <c r="U44" i="4" l="1"/>
  <c r="U57" i="4" s="1"/>
  <c r="X57" i="4" s="1"/>
  <c r="X56" i="4" s="1"/>
  <c r="R51" i="4"/>
  <c r="R57" i="4" s="1"/>
  <c r="Q57" i="4"/>
  <c r="S51" i="4" l="1"/>
  <c r="S57" i="4" s="1"/>
  <c r="E28" i="6" l="1"/>
  <c r="E32" i="6"/>
  <c r="E30" i="6"/>
  <c r="E33" i="6"/>
  <c r="E27" i="6"/>
  <c r="E29" i="6"/>
  <c r="E42" i="6" l="1"/>
  <c r="L34" i="6"/>
  <c r="K34" i="6" s="1"/>
  <c r="AU49" i="6"/>
  <c r="AY66" i="6" s="1"/>
  <c r="AX66" i="6" s="1"/>
  <c r="AH61" i="6"/>
  <c r="AI61" i="6" s="1"/>
  <c r="L30" i="6" s="1"/>
  <c r="AH59" i="6"/>
  <c r="AI59" i="6" s="1"/>
  <c r="L28" i="6" s="1"/>
  <c r="T28" i="6" s="1"/>
  <c r="AH64" i="6"/>
  <c r="AI64" i="6" s="1"/>
  <c r="L33" i="6" s="1"/>
  <c r="H33" i="6" s="1"/>
  <c r="AH63" i="6"/>
  <c r="AI63" i="6" s="1"/>
  <c r="L32" i="6" s="1"/>
  <c r="AH60" i="6"/>
  <c r="AI60" i="6" s="1"/>
  <c r="L29" i="6" s="1"/>
  <c r="AH62" i="6"/>
  <c r="AI62" i="6" s="1"/>
  <c r="L31" i="6" s="1"/>
  <c r="AX62" i="6"/>
  <c r="AX64" i="6"/>
  <c r="AX65" i="6"/>
  <c r="AX60" i="6"/>
  <c r="AX61" i="6"/>
  <c r="AX63" i="6"/>
  <c r="AX59" i="6"/>
  <c r="AH58" i="6"/>
  <c r="AI58" i="6" s="1"/>
  <c r="L27" i="6" s="1"/>
  <c r="T27" i="6" s="1"/>
  <c r="K31" i="6" l="1"/>
  <c r="H31" i="6"/>
  <c r="K28" i="6"/>
  <c r="H28" i="6"/>
  <c r="K27" i="6"/>
  <c r="H27" i="6"/>
  <c r="K30" i="6"/>
  <c r="H30" i="6"/>
  <c r="T29" i="6"/>
  <c r="K29" i="6"/>
  <c r="H29" i="6"/>
  <c r="H32" i="6"/>
  <c r="T32" i="6"/>
  <c r="K32" i="6"/>
  <c r="AU42" i="6"/>
  <c r="AY59" i="6" s="1"/>
  <c r="BC59" i="6" s="1"/>
  <c r="AU46" i="6"/>
  <c r="AY63" i="6" s="1"/>
  <c r="AU47" i="6"/>
  <c r="AY64" i="6" s="1"/>
  <c r="K33" i="6"/>
  <c r="AU45" i="6"/>
  <c r="AY62" i="6" s="1"/>
  <c r="AU48" i="6"/>
  <c r="AY65" i="6" s="1"/>
  <c r="T31" i="6"/>
  <c r="AU44" i="6"/>
  <c r="AY61" i="6" s="1"/>
  <c r="BC61" i="6" s="1"/>
  <c r="AU43" i="6"/>
  <c r="AY60" i="6" s="1"/>
  <c r="Q15" i="6" l="1"/>
  <c r="H37" i="6"/>
  <c r="V53" i="6" s="1"/>
  <c r="V32" i="6"/>
  <c r="P32" i="6"/>
  <c r="P27" i="6"/>
  <c r="V27" i="6"/>
  <c r="P29" i="6"/>
  <c r="T59" i="6"/>
  <c r="V29" i="6"/>
  <c r="V28" i="6"/>
  <c r="P28" i="6"/>
  <c r="V31" i="6"/>
  <c r="P31" i="6"/>
  <c r="P30" i="6"/>
  <c r="V30" i="6"/>
  <c r="BC63" i="6"/>
  <c r="T61" i="6" l="1"/>
  <c r="T34" i="6"/>
  <c r="T60" i="6"/>
  <c r="P33" i="6"/>
  <c r="P37" i="6" s="1"/>
  <c r="V44" i="6" s="1"/>
  <c r="V33" i="6"/>
  <c r="V45" i="6" s="1"/>
  <c r="S34" i="6" l="1"/>
  <c r="S27" i="6"/>
  <c r="S32" i="6"/>
  <c r="S31" i="6"/>
  <c r="S29" i="6"/>
  <c r="AC34" i="6"/>
  <c r="S28" i="6"/>
  <c r="O16" i="6"/>
  <c r="R15" i="6"/>
  <c r="AC27" i="6" l="1"/>
  <c r="AF36" i="6"/>
  <c r="U34" i="6" a="1"/>
  <c r="U34" i="6" s="1"/>
  <c r="U36" i="6" s="1"/>
  <c r="AB110" i="6"/>
  <c r="AC31" i="6"/>
  <c r="AE31" i="6" s="1"/>
  <c r="W109" i="6"/>
  <c r="Z109" i="6" s="1"/>
  <c r="X30" i="6" s="1"/>
  <c r="AB106" i="6"/>
  <c r="AC29" i="6"/>
  <c r="AC30" i="6"/>
  <c r="AB105" i="6"/>
  <c r="AB34" i="6"/>
  <c r="W108" i="6"/>
  <c r="Z108" i="6" s="1"/>
  <c r="AC33" i="6"/>
  <c r="AE33" i="6" s="1"/>
  <c r="AC32" i="6"/>
  <c r="AE32" i="6" s="1"/>
  <c r="AC28" i="6"/>
  <c r="S15" i="6"/>
  <c r="AG28" i="6" l="1"/>
  <c r="AE28" i="6"/>
  <c r="AG30" i="6"/>
  <c r="AE30" i="6"/>
  <c r="AC59" i="6"/>
  <c r="AE29" i="6"/>
  <c r="AE27" i="6"/>
  <c r="AG27" i="6"/>
  <c r="AC111" i="6"/>
  <c r="AC60" i="6"/>
  <c r="AQ31" i="6"/>
  <c r="AJ47" i="6" s="1"/>
  <c r="AG31" i="6"/>
  <c r="AG29" i="6"/>
  <c r="AC106" i="6"/>
  <c r="AD106" i="6" s="1"/>
  <c r="AC61" i="6"/>
  <c r="X27" i="6"/>
  <c r="X37" i="6" s="1"/>
  <c r="AC110" i="6"/>
  <c r="AD110" i="6" s="1"/>
  <c r="AG33" i="6"/>
  <c r="AC105" i="6"/>
  <c r="AD105" i="6" s="1"/>
  <c r="AG32" i="6"/>
  <c r="AQ32" i="6"/>
  <c r="AJ48" i="6" s="1"/>
  <c r="AQ28" i="6"/>
  <c r="U48" i="6" l="1"/>
  <c r="V49" i="6" s="1"/>
  <c r="Q48" i="6" s="1"/>
  <c r="V46" i="6"/>
  <c r="Y37" i="6"/>
  <c r="V47" i="6" s="1"/>
  <c r="AJ44" i="6"/>
  <c r="U50" i="6" l="1"/>
  <c r="V51" i="6" s="1"/>
  <c r="Q47" i="6" s="1"/>
  <c r="AA45" i="6"/>
  <c r="D10" i="7" l="1"/>
  <c r="Q10" i="7" s="1"/>
  <c r="U42" i="6"/>
  <c r="BC69" i="6"/>
  <c r="BE69" i="6" s="1"/>
  <c r="AQ29" i="6"/>
  <c r="AQ30" i="6"/>
  <c r="AJ46" i="6" s="1"/>
  <c r="AQ27" i="6"/>
  <c r="AJ43" i="6" s="1"/>
  <c r="AJ45" i="6" l="1"/>
  <c r="AH43" i="6"/>
  <c r="R10" i="7"/>
  <c r="S10" i="7"/>
  <c r="AP9" i="6"/>
  <c r="AP10" i="6"/>
  <c r="AQ33" i="6"/>
  <c r="AJ49" i="6" s="1"/>
  <c r="AP7" i="6"/>
  <c r="AP11" i="6"/>
  <c r="AP8" i="6"/>
  <c r="AV30" i="6"/>
  <c r="AP6" i="6"/>
  <c r="AJ50" i="6" l="1"/>
  <c r="AQ34" i="6"/>
  <c r="AP27" i="6" s="1"/>
  <c r="AT12" i="6"/>
  <c r="AV33" i="6" s="1"/>
  <c r="AO19" i="6"/>
  <c r="AP19" i="6" s="1"/>
  <c r="D12" i="7" s="1"/>
  <c r="AY45" i="6"/>
  <c r="AT9" i="6"/>
  <c r="AL30" i="6"/>
  <c r="AP32" i="6" l="1"/>
  <c r="AP34" i="6"/>
  <c r="AP29" i="6"/>
  <c r="AP28" i="6"/>
  <c r="AP31" i="6"/>
  <c r="AP30" i="6"/>
  <c r="AQ19" i="6"/>
  <c r="Q12" i="7"/>
  <c r="S12" i="7"/>
  <c r="R12" i="7"/>
  <c r="AQ6" i="6"/>
  <c r="AT6" i="6" s="1"/>
  <c r="AQ8" i="6"/>
  <c r="AT8" i="6" s="1"/>
  <c r="E43" i="6" s="1"/>
  <c r="AQ7" i="6"/>
  <c r="AT7" i="6" s="1"/>
  <c r="AU9" i="6"/>
  <c r="D13" i="7" s="1"/>
  <c r="AQ9" i="6"/>
  <c r="AQ10" i="6"/>
  <c r="AT10" i="6" s="1"/>
  <c r="AQ11" i="6"/>
  <c r="AT11" i="6" s="1"/>
  <c r="AL33" i="6"/>
  <c r="AY48" i="6"/>
  <c r="S13" i="7" l="1"/>
  <c r="S15" i="7" s="1"/>
  <c r="R13" i="7"/>
  <c r="R15" i="7" s="1"/>
  <c r="Q13" i="7"/>
  <c r="Q15" i="7" s="1"/>
  <c r="AV32" i="6"/>
  <c r="AV28" i="6"/>
  <c r="BA60" i="6"/>
  <c r="AV29" i="6"/>
  <c r="D40" i="6"/>
  <c r="AT13" i="6"/>
  <c r="AS7" i="6" s="1"/>
  <c r="AV27" i="6"/>
  <c r="AV31" i="6"/>
  <c r="AS6" i="6" l="1"/>
  <c r="AL29" i="6"/>
  <c r="AY44" i="6"/>
  <c r="AH45" i="6"/>
  <c r="AH50" i="6" s="1"/>
  <c r="AL31" i="6"/>
  <c r="AY46" i="6"/>
  <c r="AS13" i="6"/>
  <c r="AS12" i="6"/>
  <c r="AS9" i="6"/>
  <c r="AS11" i="6"/>
  <c r="AY47" i="6"/>
  <c r="AL32" i="6"/>
  <c r="AS8" i="6"/>
  <c r="AS10" i="6"/>
  <c r="AL27" i="6"/>
  <c r="AV34" i="6"/>
  <c r="AU32" i="6" s="1"/>
  <c r="BA27" i="6"/>
  <c r="D39" i="6" s="1"/>
  <c r="AY42" i="6"/>
  <c r="AY43" i="6"/>
  <c r="AL28" i="6"/>
  <c r="AU28" i="6" l="1"/>
  <c r="AU31" i="6"/>
  <c r="AU34" i="6"/>
  <c r="AX49" i="6" s="1"/>
  <c r="AY49" i="6"/>
  <c r="AX44" i="6" s="1"/>
  <c r="AU33" i="6"/>
  <c r="AL34" i="6"/>
  <c r="U52" i="6" s="1"/>
  <c r="AU27" i="6"/>
  <c r="AU29" i="6"/>
  <c r="AX45" i="6" l="1"/>
  <c r="AX48" i="6"/>
  <c r="AX47" i="6"/>
  <c r="AX42" i="6"/>
  <c r="AX43" i="6"/>
  <c r="V54" i="6"/>
  <c r="U56" i="6"/>
  <c r="AX46" i="6"/>
  <c r="Q45" i="6" l="1"/>
  <c r="BF69" i="6"/>
  <c r="Y42" i="6"/>
  <c r="V56" i="6"/>
  <c r="X56" i="6" s="1"/>
  <c r="X5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<sst xmlns="http://schemas.openxmlformats.org/spreadsheetml/2006/main" count="1917" uniqueCount="343">
  <si>
    <t>Parameter</t>
  </si>
  <si>
    <t>Feed, 1</t>
  </si>
  <si>
    <t>Before desulfurization, 2</t>
  </si>
  <si>
    <t>Reformer inlet, 3</t>
  </si>
  <si>
    <t>Reformer outlet, 4</t>
  </si>
  <si>
    <t>Pressure swing adsorption, 5</t>
  </si>
  <si>
    <t>H2 product, 6</t>
  </si>
  <si>
    <t>H2, vol %</t>
  </si>
  <si>
    <t>N2, vol %</t>
  </si>
  <si>
    <t>CO, vol %</t>
  </si>
  <si>
    <t>CO2, vol %</t>
  </si>
  <si>
    <t>CH4, vol %</t>
  </si>
  <si>
    <t>C2+, vol %</t>
  </si>
  <si>
    <t>H2O, vol %</t>
  </si>
  <si>
    <t>Quantity, m3 (STP/h)</t>
  </si>
  <si>
    <t>Temperature, °C</t>
  </si>
  <si>
    <t>Pressure, MPa</t>
  </si>
  <si>
    <t>Fuel gas</t>
  </si>
  <si>
    <t>H2</t>
  </si>
  <si>
    <t>Water</t>
  </si>
  <si>
    <t>kg/h</t>
  </si>
  <si>
    <t>MPa</t>
  </si>
  <si>
    <t>°C</t>
  </si>
  <si>
    <t>SMR steam</t>
  </si>
  <si>
    <t>Off gas</t>
  </si>
  <si>
    <t>Steam export</t>
  </si>
  <si>
    <t>Purge gas</t>
  </si>
  <si>
    <t>Ideal gas</t>
  </si>
  <si>
    <t>Mole</t>
  </si>
  <si>
    <t>n = p*V/(R*T)</t>
  </si>
  <si>
    <t>R =</t>
  </si>
  <si>
    <t>bar*l/(mol*K)</t>
  </si>
  <si>
    <t>https://en.wikipedia.org/wiki/Heat_of_combustion</t>
  </si>
  <si>
    <t>D</t>
  </si>
  <si>
    <t>Delta T</t>
  </si>
  <si>
    <t>K</t>
  </si>
  <si>
    <t>Molar heat capacity [kJ/(mol K)]</t>
  </si>
  <si>
    <t xml:space="preserve">neglegible </t>
  </si>
  <si>
    <t>Combustion energy [kJ]</t>
  </si>
  <si>
    <t>LHV 25°C [kJ/mol]</t>
  </si>
  <si>
    <t>https://de.wikipedia.org/wiki/Verdampfungsenthalpie</t>
  </si>
  <si>
    <t>Molar heat capacity 25°C  [kJ/(mol K)]</t>
  </si>
  <si>
    <t>Vapourisation enthalpy 25°C [kJ/mol]</t>
  </si>
  <si>
    <t>Molar heat capacity c_p [kJ/(mol K)]</t>
  </si>
  <si>
    <t>CH4</t>
  </si>
  <si>
    <t>see below</t>
  </si>
  <si>
    <t>Heat-up energy [kJ]</t>
  </si>
  <si>
    <t>A</t>
  </si>
  <si>
    <t>B</t>
  </si>
  <si>
    <t>C</t>
  </si>
  <si>
    <t>E</t>
  </si>
  <si>
    <t>Temp [K]</t>
  </si>
  <si>
    <t>T/1000</t>
  </si>
  <si>
    <t>Temp [°C]</t>
  </si>
  <si>
    <t>H2O</t>
  </si>
  <si>
    <t>N2</t>
  </si>
  <si>
    <t>CO2</t>
  </si>
  <si>
    <t>-</t>
  </si>
  <si>
    <t>approximation with CH4 values</t>
  </si>
  <si>
    <t>CO</t>
  </si>
  <si>
    <t>C2H6</t>
  </si>
  <si>
    <t>xi_1</t>
  </si>
  <si>
    <t>xi_2</t>
  </si>
  <si>
    <t>xi_3</t>
  </si>
  <si>
    <t>xi_4</t>
  </si>
  <si>
    <t>deltaN_H2</t>
  </si>
  <si>
    <t>II</t>
  </si>
  <si>
    <t>II*</t>
  </si>
  <si>
    <t>III*</t>
  </si>
  <si>
    <t>I-II</t>
  </si>
  <si>
    <t>2I-III</t>
  </si>
  <si>
    <t>linear dependant equation</t>
  </si>
  <si>
    <t>deltaN_CO</t>
  </si>
  <si>
    <t>deltaN_CO2</t>
  </si>
  <si>
    <t>deltaN_CH4</t>
  </si>
  <si>
    <t>deltaN_C2H6</t>
  </si>
  <si>
    <t>deltaN_H2O</t>
  </si>
  <si>
    <t>I</t>
  </si>
  <si>
    <t>III</t>
  </si>
  <si>
    <t>IV</t>
  </si>
  <si>
    <t>V</t>
  </si>
  <si>
    <t>VI</t>
  </si>
  <si>
    <t>VII</t>
  </si>
  <si>
    <t>VIII</t>
  </si>
  <si>
    <t>soot-forming</t>
  </si>
  <si>
    <t>V*</t>
  </si>
  <si>
    <t>I+V</t>
  </si>
  <si>
    <t>VI*</t>
  </si>
  <si>
    <t>VI-II</t>
  </si>
  <si>
    <t>deltaN_C</t>
  </si>
  <si>
    <t>xi_3 =</t>
  </si>
  <si>
    <t>-&gt;</t>
  </si>
  <si>
    <t>xi_1 =</t>
  </si>
  <si>
    <t xml:space="preserve">xi_4 = </t>
  </si>
  <si>
    <t>xi_2 =</t>
  </si>
  <si>
    <t>mol</t>
  </si>
  <si>
    <t>Double-check</t>
  </si>
  <si>
    <t>balance</t>
  </si>
  <si>
    <t>calculated</t>
  </si>
  <si>
    <t>error</t>
  </si>
  <si>
    <t>Comment</t>
  </si>
  <si>
    <t>Not possible to choose equation II, as in that case deltaN_C is said to be zero, which leads to a huge error in H balance, as the H balance will be a degree of freedom in that case.</t>
  </si>
  <si>
    <t>Reaction rate determination</t>
  </si>
  <si>
    <t>Reaction enthalpy determination</t>
  </si>
  <si>
    <t>species</t>
  </si>
  <si>
    <t>nu_j</t>
  </si>
  <si>
    <t>deltah_Tj</t>
  </si>
  <si>
    <t>deltah_pj</t>
  </si>
  <si>
    <t>T_0</t>
  </si>
  <si>
    <t>T_1</t>
  </si>
  <si>
    <t>deltah_j_std [kJ/mol]</t>
  </si>
  <si>
    <t>neglected</t>
  </si>
  <si>
    <t>kJ/mol</t>
  </si>
  <si>
    <t>not relevant</t>
  </si>
  <si>
    <t>Reaction enthalpy [kJ]</t>
  </si>
  <si>
    <t>insignificant</t>
  </si>
  <si>
    <t>SUM</t>
  </si>
  <si>
    <t>Molar heat capacity (temperature dependant)</t>
  </si>
  <si>
    <t>1 bar, ideal gas</t>
  </si>
  <si>
    <t>Insulation losses</t>
  </si>
  <si>
    <t>Furnace section</t>
  </si>
  <si>
    <t>Convection zone</t>
  </si>
  <si>
    <t>min</t>
  </si>
  <si>
    <t>max</t>
  </si>
  <si>
    <t>average</t>
  </si>
  <si>
    <t>Insulation losses [kJ]</t>
  </si>
  <si>
    <t xml:space="preserve">[Ullmanns, Hydrogen, 2. Production, 266] </t>
  </si>
  <si>
    <t>neglected because ideal gas</t>
  </si>
  <si>
    <t>Fuel gas (feed)</t>
  </si>
  <si>
    <t>O2, vol %</t>
  </si>
  <si>
    <t>Quantity min., m3 (STP/h)</t>
  </si>
  <si>
    <t>Mass flow, kg/h</t>
  </si>
  <si>
    <t>Mole, mol</t>
  </si>
  <si>
    <t>Reaction number</t>
  </si>
  <si>
    <t>Insulation losses, kJ</t>
  </si>
  <si>
    <t>Vapourisation enthalpy 25°C, kJ/mol</t>
  </si>
  <si>
    <t>LHV 25°C, kJ/mol</t>
  </si>
  <si>
    <t>Specific enthalpy, kJ/kg</t>
  </si>
  <si>
    <t>Reaction enthalpy, kJ/h</t>
  </si>
  <si>
    <t>Heat-up energy, kJ/h</t>
  </si>
  <si>
    <t>Combustion energy, kJ/h</t>
  </si>
  <si>
    <t>validity range max</t>
  </si>
  <si>
    <t>validity range min</t>
  </si>
  <si>
    <t>Hydrogenation gas</t>
  </si>
  <si>
    <t>deltah_Tj, kJ/mol</t>
  </si>
  <si>
    <t>deltah_j_std, kJ/mol</t>
  </si>
  <si>
    <t>Molar heat capacity (temperature dependant), integral</t>
  </si>
  <si>
    <t>Molar heat capacity (temperature dependant), linearization 1K</t>
  </si>
  <si>
    <t>C2+</t>
  </si>
  <si>
    <t>Molar heat capacity, kJ/mol</t>
  </si>
  <si>
    <t>not used</t>
  </si>
  <si>
    <t>CO2 (20-&gt;850°C)</t>
  </si>
  <si>
    <t>H2O (100-&gt;850°C)</t>
  </si>
  <si>
    <t>N2 (20-&gt;850°C)</t>
  </si>
  <si>
    <t>Feed (390-&gt;520°C)</t>
  </si>
  <si>
    <t>Feed (520-&gt;850°C)</t>
  </si>
  <si>
    <t>Feed (850-&gt;350°C)</t>
  </si>
  <si>
    <t>Heat-down energy, kJ/h</t>
  </si>
  <si>
    <t>Combustion air</t>
  </si>
  <si>
    <t>O2 (20-&gt;500°C)</t>
  </si>
  <si>
    <t>N2 (20-&gt;500°C)</t>
  </si>
  <si>
    <t>Flue gas losses</t>
  </si>
  <si>
    <t>not stated</t>
  </si>
  <si>
    <t>Flue gas (feed)</t>
  </si>
  <si>
    <t>Flue gas balance</t>
  </si>
  <si>
    <t>Steam balance</t>
  </si>
  <si>
    <t>heat-adding</t>
  </si>
  <si>
    <t>heat-consuming</t>
  </si>
  <si>
    <t>Purge gas combustion</t>
  </si>
  <si>
    <t>Fuel gas combustion</t>
  </si>
  <si>
    <t>HX3</t>
  </si>
  <si>
    <t>SMR feed warming</t>
  </si>
  <si>
    <t>Reaction enthalpy</t>
  </si>
  <si>
    <t>Feed (20-&gt;390°C)</t>
  </si>
  <si>
    <t>HXF-</t>
  </si>
  <si>
    <t>HXF+</t>
  </si>
  <si>
    <t>HX5</t>
  </si>
  <si>
    <t>HXA-</t>
  </si>
  <si>
    <t>HXA+</t>
  </si>
  <si>
    <t>T_in</t>
  </si>
  <si>
    <t>T_out</t>
  </si>
  <si>
    <t>Feed (425-&gt;20°C)</t>
  </si>
  <si>
    <t>SUM (HXF+HX5)</t>
  </si>
  <si>
    <t>Delta</t>
  </si>
  <si>
    <t>HX4 &amp; HX2</t>
  </si>
  <si>
    <t>Overall</t>
  </si>
  <si>
    <t>H2O (236-&gt;520°C)</t>
  </si>
  <si>
    <t>Steam byproduct</t>
  </si>
  <si>
    <t>isenthalpic</t>
  </si>
  <si>
    <t>Specific enthalpy increase relative to input water, kJ/kg</t>
  </si>
  <si>
    <t>Lost energy, kJ/h</t>
  </si>
  <si>
    <t>[Ullmann's, Gas Production, 3. Gas Treating, 504]</t>
  </si>
  <si>
    <t>CO2 for CCU</t>
  </si>
  <si>
    <t>Electricity</t>
  </si>
  <si>
    <t>S/C</t>
  </si>
  <si>
    <t>CO-conversion</t>
  </si>
  <si>
    <t>R</t>
  </si>
  <si>
    <t>p_0</t>
  </si>
  <si>
    <t>Purge gas recycle</t>
  </si>
  <si>
    <t>GGW bei WGS liegt wieder weit bei CH4 und H2O, zur modellierung ist die betrachtung der Kinetik von relevanz (Kat für WGSR aber nicht für SMR)</t>
  </si>
  <si>
    <t>Daher wird annahme gemacht und eine 50% konversion von CO angenommen</t>
  </si>
  <si>
    <t>Purge gas burn</t>
  </si>
  <si>
    <t>Recycle gas</t>
  </si>
  <si>
    <t>R/F</t>
  </si>
  <si>
    <t>H</t>
  </si>
  <si>
    <t>O</t>
  </si>
  <si>
    <t>Feed (520-&gt;1100°C)</t>
  </si>
  <si>
    <t>Energy input, kJ/h</t>
  </si>
  <si>
    <t>Reaction</t>
  </si>
  <si>
    <t>Mole CH4, mol</t>
  </si>
  <si>
    <t>Reaction enthalpy, kJ/mol</t>
  </si>
  <si>
    <t>Energy. kJ/h</t>
  </si>
  <si>
    <t>Temperature increase check</t>
  </si>
  <si>
    <t>Feed (3xx-&gt;4xx°C)</t>
  </si>
  <si>
    <t>MP reforming steam</t>
  </si>
  <si>
    <t>HP reforming steam import</t>
  </si>
  <si>
    <t>Höheres Druckniveau angenommen wegen Rectisol, aber dafür notwendige verdichtung vernachlässigt</t>
  </si>
  <si>
    <t>Electricity input</t>
  </si>
  <si>
    <t>H2O (xxx-&gt;520°C)</t>
  </si>
  <si>
    <t>HXF2</t>
  </si>
  <si>
    <t>HXF2+</t>
  </si>
  <si>
    <t>HXF1+</t>
  </si>
  <si>
    <t>HXF1-</t>
  </si>
  <si>
    <t>HXF2-</t>
  </si>
  <si>
    <t>1100°C</t>
  </si>
  <si>
    <t>https://www.peacesoftware.de/einigewerte/wasser_dampf.html</t>
  </si>
  <si>
    <t>Energy, kJ/h</t>
  </si>
  <si>
    <t>Reforming steam input</t>
  </si>
  <si>
    <t>HXF1</t>
  </si>
  <si>
    <t>eSMR</t>
  </si>
  <si>
    <t>SMR</t>
  </si>
  <si>
    <t>Hydrogen, m3 (STP/h)</t>
  </si>
  <si>
    <t>MP steam, kg/h</t>
  </si>
  <si>
    <t>Water, kg/h</t>
  </si>
  <si>
    <t>CO2 concentrated, kg/h</t>
  </si>
  <si>
    <t>CO2 emitted, kg/h</t>
  </si>
  <si>
    <t>Waste water</t>
  </si>
  <si>
    <t>Waste water, kg/h</t>
  </si>
  <si>
    <t>€/kg</t>
  </si>
  <si>
    <t>Base-scenario</t>
  </si>
  <si>
    <t>https://tradingeconomics.com/commodity/carbon</t>
  </si>
  <si>
    <t>https://businessanalytiq.com/procurementanalytics/index/carbon-dioxide-price-index/</t>
  </si>
  <si>
    <t>CCS</t>
  </si>
  <si>
    <t>CCU</t>
  </si>
  <si>
    <t>https://www.globalccsinstitute.com/wp-content/uploads/2025/12/Cost-of-CO2-Storage-1225.pdf</t>
  </si>
  <si>
    <t>https://zeroemissionsplatform.eu/publication/co2-storage-cost/</t>
  </si>
  <si>
    <t>https://www.sciencedirect.com/science/article/pii/S1750583621001195</t>
  </si>
  <si>
    <t>$/kg</t>
  </si>
  <si>
    <t>https://porvoo.com.cn/blog/wastewater-treatment-prices-investment-breakdown/</t>
  </si>
  <si>
    <t>https://www.sciencedirect.com/science/article/pii/S0921344919305695</t>
  </si>
  <si>
    <t>https://www.zfk.de/wasser-abwasser/wasser/industriewasser-wird-im-schnitt-ein-cent-teurer</t>
  </si>
  <si>
    <t>Electricity, kWh/h</t>
  </si>
  <si>
    <t>$/kWh</t>
  </si>
  <si>
    <t>China</t>
  </si>
  <si>
    <t>USA</t>
  </si>
  <si>
    <t>Germany</t>
  </si>
  <si>
    <t>https://worldpopulationreview.com/country-rankings/cost-of-electricity-by-country</t>
  </si>
  <si>
    <t>€/MWh</t>
  </si>
  <si>
    <t>Conversion factor</t>
  </si>
  <si>
    <t>https://www.engineeringtoolbox.com/fuels-higher-calorific-values-d_169.html</t>
  </si>
  <si>
    <t>Natural gas, MWh/h</t>
  </si>
  <si>
    <t>conservative</t>
  </si>
  <si>
    <t>optimistic</t>
  </si>
  <si>
    <t>N2-Inertgas, H2 purity is directly dependant of N2 content in NG</t>
  </si>
  <si>
    <t>CO-Nutzung through recycle</t>
  </si>
  <si>
    <t>Durch Recycle und darin included hydrogen no H2-product recycle to desulphurization is necessary</t>
  </si>
  <si>
    <t>Simplification, that CO2 removal doesn't need energy</t>
  </si>
  <si>
    <t>1 – 2 % can even be reached in the main wash part with just ﬂash-regenerated methanol. Therefore external energy input is neglected as first simplification</t>
  </si>
  <si>
    <t>O2</t>
  </si>
  <si>
    <t>ATR reaction</t>
  </si>
  <si>
    <t>CH4 Umsatz</t>
  </si>
  <si>
    <t>mol_out/mol_in</t>
  </si>
  <si>
    <t>Henry-coefficient</t>
  </si>
  <si>
    <t>S_(i/CO2)=H_CO2/H_i</t>
  </si>
  <si>
    <t>p_i/p_CO2</t>
  </si>
  <si>
    <t>n_i=n_CO2*(p_i/p_CO2)*S_(i/CO2)</t>
  </si>
  <si>
    <t>id Gas</t>
  </si>
  <si>
    <t>H2 recovery</t>
  </si>
  <si>
    <t>From water to steam</t>
  </si>
  <si>
    <t>https://www.sciencedirect.com/topics/engineering/boiler-efficiency</t>
  </si>
  <si>
    <t>Boiler efficiency</t>
  </si>
  <si>
    <t>SMR feed warming (HXI-)</t>
  </si>
  <si>
    <t>HXI+</t>
  </si>
  <si>
    <t>HXI</t>
  </si>
  <si>
    <t>HXF1- difference (for steam production)</t>
  </si>
  <si>
    <t>HXF2 difference (for steam production)</t>
  </si>
  <si>
    <t>China/India</t>
  </si>
  <si>
    <t>Energy, kJ/kg</t>
  </si>
  <si>
    <t>CNY/MMBtu</t>
  </si>
  <si>
    <t>MWh/MMBtu</t>
  </si>
  <si>
    <t>€/CNY</t>
  </si>
  <si>
    <t>USD/MMBtu</t>
  </si>
  <si>
    <t>€/USD</t>
  </si>
  <si>
    <t>https://www.intratec.us/solutions/energy-prices-markets/commodity/natural-gas-price-germany</t>
  </si>
  <si>
    <t>https://www.intratec.us/solutions/energy-prices-markets/commodity/natural-gas-price-united-states</t>
  </si>
  <si>
    <t>https://www.intratec.us/solutions/energy-prices-markets/commodity/natural-gas-price-china</t>
  </si>
  <si>
    <t xml:space="preserve">ratios </t>
  </si>
  <si>
    <t>N2/electricity</t>
  </si>
  <si>
    <t>CO2 tax/electricity</t>
  </si>
  <si>
    <t xml:space="preserve">Eingesparte tonne CO2 pro MWh Strom </t>
  </si>
  <si>
    <t>HX1-</t>
  </si>
  <si>
    <t>balance closing over HXA</t>
  </si>
  <si>
    <t>balance closing over flue gas balance</t>
  </si>
  <si>
    <t>balance cloxing over 1 and 2</t>
  </si>
  <si>
    <t>balance closing over 5 and 6</t>
  </si>
  <si>
    <t>balance closing over 1 (Temp) and 2 (Composition+Temp)</t>
  </si>
  <si>
    <t>balance closing over HXF</t>
  </si>
  <si>
    <t>balance closing over 2 (Temp) and 3 (Composition+Temp)</t>
  </si>
  <si>
    <t>balance closing over 4 (Copmposition+Temp) and T_in WGS</t>
  </si>
  <si>
    <t>balance closing over HXF+ and T_out WGS and 5 (Composition+Temp)</t>
  </si>
  <si>
    <t>Feed (350-&gt;4xx°C)</t>
  </si>
  <si>
    <t>balance closing over 3 (Composition+Temp) and 4 (Temp)</t>
  </si>
  <si>
    <t>balance closing over reaction enthalpy</t>
  </si>
  <si>
    <t>Kann c_p Wert Betrachtung zwischen in und out nicht machen, da ich Abgastemperatur nicht weiß</t>
  </si>
  <si>
    <t>If too high CO CO2 contents for desulphurization, recycle adding after desulphurization</t>
  </si>
  <si>
    <t>Feed (1100-&gt;520°C)</t>
  </si>
  <si>
    <t>Feed (520-&gt;350°C)</t>
  </si>
  <si>
    <t>T_out HXI</t>
  </si>
  <si>
    <t>Losses</t>
  </si>
  <si>
    <t>HXI difference (for steam production)</t>
  </si>
  <si>
    <t>Mass CO2, kg/h</t>
  </si>
  <si>
    <t>Spezies</t>
  </si>
  <si>
    <t>Temperaturgrenzen</t>
  </si>
  <si>
    <t>Low-T Koeffizienten  (T_min → T_mid)</t>
  </si>
  <si>
    <t>High-T Koeffizienten (T_mid → T_max)</t>
  </si>
  <si>
    <t>T_min [K]</t>
  </si>
  <si>
    <t>T_mid [K]</t>
  </si>
  <si>
    <t>T_max [K]</t>
  </si>
  <si>
    <t>a1l</t>
  </si>
  <si>
    <t>a2l</t>
  </si>
  <si>
    <t>a3l</t>
  </si>
  <si>
    <t>a4l</t>
  </si>
  <si>
    <t>a5l</t>
  </si>
  <si>
    <t>a6l</t>
  </si>
  <si>
    <t>a7l</t>
  </si>
  <si>
    <t>a1h</t>
  </si>
  <si>
    <t>a2h</t>
  </si>
  <si>
    <t>a3h</t>
  </si>
  <si>
    <t>a4h</t>
  </si>
  <si>
    <t>a5h</t>
  </si>
  <si>
    <t>a6h</t>
  </si>
  <si>
    <t>a7h</t>
  </si>
  <si>
    <t>T_mid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</si>
</sst>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6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3" fillId="0" borderId="0" xfId="2"/>
    <xf numFmtId="1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" fontId="5" fillId="0" borderId="0" xfId="0" applyNumberFormat="1" applyFont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5" borderId="0" xfId="0" applyFill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5" fillId="0" borderId="0" xfId="0" applyFont="1"/>
    <xf numFmtId="9" fontId="0" fillId="2" borderId="0" xfId="0" applyNumberFormat="1" applyFill="1"/>
    <xf numFmtId="164" fontId="5" fillId="0" borderId="0" xfId="0" applyNumberFormat="1" applyFont="1"/>
    <xf numFmtId="0" fontId="4" fillId="2" borderId="0" xfId="0" applyFont="1" applyFill="1"/>
    <xf numFmtId="0" fontId="8" fillId="0" borderId="0" xfId="0" applyFont="1"/>
    <xf numFmtId="1" fontId="0" fillId="0" borderId="0" xfId="1" applyNumberFormat="1" applyFont="1" applyFill="1"/>
    <xf numFmtId="1" fontId="0" fillId="6" borderId="0" xfId="0" applyNumberFormat="1" applyFill="1"/>
    <xf numFmtId="0" fontId="0" fillId="6" borderId="0" xfId="0" applyFill="1"/>
    <xf numFmtId="0" fontId="9" fillId="6" borderId="1" xfId="0" applyFont="1" applyFill="1" applyBorder="1"/>
    <xf numFmtId="0" fontId="2" fillId="6" borderId="0" xfId="0" applyFont="1" applyFill="1"/>
    <xf numFmtId="0" fontId="9" fillId="6" borderId="2" xfId="0" applyFont="1" applyFill="1" applyBorder="1"/>
    <xf numFmtId="0" fontId="0" fillId="6" borderId="1" xfId="0" applyFill="1" applyBorder="1"/>
    <xf numFmtId="0" fontId="0" fillId="6" borderId="2" xfId="0" applyFill="1" applyBorder="1"/>
    <xf numFmtId="1" fontId="0" fillId="6" borderId="1" xfId="0" applyNumberFormat="1" applyFill="1" applyBorder="1"/>
    <xf numFmtId="1" fontId="0" fillId="6" borderId="2" xfId="0" applyNumberFormat="1" applyFill="1" applyBorder="1"/>
    <xf numFmtId="9" fontId="0" fillId="6" borderId="0" xfId="1" applyFont="1" applyFill="1"/>
    <xf numFmtId="2" fontId="5" fillId="0" borderId="0" xfId="0" applyNumberFormat="1" applyFont="1"/>
    <xf numFmtId="0" fontId="5" fillId="5" borderId="0" xfId="0" applyFont="1" applyFill="1"/>
    <xf numFmtId="164" fontId="0" fillId="0" borderId="0" xfId="0" applyNumberFormat="1"/>
    <xf numFmtId="166" fontId="0" fillId="0" borderId="0" xfId="1" applyNumberFormat="1" applyFont="1"/>
    <xf numFmtId="0" fontId="10" fillId="0" borderId="0" xfId="0" applyFont="1"/>
    <xf numFmtId="165" fontId="0" fillId="2" borderId="0" xfId="0" applyNumberFormat="1" applyFill="1"/>
    <xf numFmtId="165" fontId="0" fillId="6" borderId="0" xfId="1" applyNumberFormat="1" applyFont="1" applyFill="1"/>
    <xf numFmtId="1" fontId="4" fillId="0" borderId="0" xfId="0" applyNumberFormat="1" applyFont="1"/>
    <xf numFmtId="0" fontId="5" fillId="6" borderId="2" xfId="0" applyFont="1" applyFill="1" applyBorder="1"/>
    <xf numFmtId="1" fontId="5" fillId="6" borderId="0" xfId="0" applyNumberFormat="1" applyFont="1" applyFill="1"/>
    <xf numFmtId="1" fontId="5" fillId="6" borderId="2" xfId="0" applyNumberFormat="1" applyFont="1" applyFill="1" applyBorder="1"/>
    <xf numFmtId="0" fontId="5" fillId="6" borderId="0" xfId="0" applyFont="1" applyFill="1"/>
    <xf numFmtId="1" fontId="5" fillId="5" borderId="0" xfId="0" applyNumberFormat="1" applyFont="1" applyFill="1"/>
    <xf numFmtId="0" fontId="0" fillId="0" borderId="3" xfId="0" applyBorder="1"/>
    <xf numFmtId="165" fontId="0" fillId="0" borderId="0" xfId="1" applyNumberFormat="1" applyFont="1" applyFill="1"/>
    <xf numFmtId="9" fontId="0" fillId="5" borderId="0" xfId="0" applyNumberFormat="1" applyFill="1"/>
    <xf numFmtId="0" fontId="2" fillId="2" borderId="0" xfId="0" applyFont="1" applyFill="1"/>
    <xf numFmtId="1" fontId="0" fillId="2" borderId="0" xfId="0" applyNumberFormat="1" applyFill="1"/>
    <xf numFmtId="0" fontId="2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44303</xdr:colOff>
      <xdr:row>24</xdr:row>
      <xdr:rowOff>101601</xdr:rowOff>
    </xdr:from>
    <xdr:to>
      <xdr:col>5</xdr:col>
      <xdr:colOff>626436</xdr:colOff>
      <xdr:row>24</xdr:row>
      <xdr:rowOff>101601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BA231F1-5862-544D-AF24-2924DD67FF0E}"/>
            </a:ext>
          </a:extLst>
        </xdr:cNvPr>
        <xdr:cNvCxnSpPr>
          <a:endCxn id="6" idx="2"/>
        </xdr:cNvCxnSpPr>
      </xdr:nvCxnSpPr>
      <xdr:spPr>
        <a:xfrm>
          <a:off x="1695303" y="4978401"/>
          <a:ext cx="3058633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317499</xdr:colOff>
      <xdr:row>23</xdr:row>
      <xdr:rowOff>76200</xdr:rowOff>
    </xdr:from>
    <xdr:to>
      <xdr:col>12</xdr:col>
      <xdr:colOff>507999</xdr:colOff>
      <xdr:row>25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E0676-229A-834D-8A67-D7D0E903DBF7}"/>
            </a:ext>
          </a:extLst>
        </xdr:cNvPr>
        <xdr:cNvSpPr>
          <a:spLocks/>
        </xdr:cNvSpPr>
      </xdr:nvSpPr>
      <xdr:spPr>
        <a:xfrm>
          <a:off x="9397999" y="4749800"/>
          <a:ext cx="1016000" cy="457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24</xdr:col>
      <xdr:colOff>317500</xdr:colOff>
      <xdr:row>23</xdr:row>
      <xdr:rowOff>76200</xdr:rowOff>
    </xdr:from>
    <xdr:to>
      <xdr:col>25</xdr:col>
      <xdr:colOff>507999</xdr:colOff>
      <xdr:row>25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5FBA5A-4423-D045-B5F6-8CC3532F8247}"/>
            </a:ext>
          </a:extLst>
        </xdr:cNvPr>
        <xdr:cNvSpPr>
          <a:spLocks/>
        </xdr:cNvSpPr>
      </xdr:nvSpPr>
      <xdr:spPr>
        <a:xfrm>
          <a:off x="201295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eSMR</a:t>
          </a:r>
        </a:p>
      </xdr:txBody>
    </xdr:sp>
    <xdr:clientData/>
  </xdr:twoCellAnchor>
  <xdr:twoCellAnchor>
    <xdr:from>
      <xdr:col>33</xdr:col>
      <xdr:colOff>328131</xdr:colOff>
      <xdr:row>23</xdr:row>
      <xdr:rowOff>76200</xdr:rowOff>
    </xdr:from>
    <xdr:to>
      <xdr:col>34</xdr:col>
      <xdr:colOff>518631</xdr:colOff>
      <xdr:row>25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415DAA-36D5-7541-BC03-2200F076C390}"/>
            </a:ext>
          </a:extLst>
        </xdr:cNvPr>
        <xdr:cNvSpPr>
          <a:spLocks/>
        </xdr:cNvSpPr>
      </xdr:nvSpPr>
      <xdr:spPr>
        <a:xfrm>
          <a:off x="27569631" y="4749800"/>
          <a:ext cx="1016000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47</xdr:col>
      <xdr:colOff>319568</xdr:colOff>
      <xdr:row>23</xdr:row>
      <xdr:rowOff>76200</xdr:rowOff>
    </xdr:from>
    <xdr:to>
      <xdr:col>48</xdr:col>
      <xdr:colOff>510067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824491C-2F83-474E-B163-4001E69171E7}"/>
            </a:ext>
          </a:extLst>
        </xdr:cNvPr>
        <xdr:cNvSpPr>
          <a:spLocks/>
        </xdr:cNvSpPr>
      </xdr:nvSpPr>
      <xdr:spPr>
        <a:xfrm>
          <a:off x="39187475" y="4831316"/>
          <a:ext cx="1017476" cy="46428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5</xdr:col>
      <xdr:colOff>626436</xdr:colOff>
      <xdr:row>23</xdr:row>
      <xdr:rowOff>76200</xdr:rowOff>
    </xdr:from>
    <xdr:to>
      <xdr:col>6</xdr:col>
      <xdr:colOff>258135</xdr:colOff>
      <xdr:row>25</xdr:row>
      <xdr:rowOff>127000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1B67DD4-1036-D34D-80B2-FC735E09C825}"/>
            </a:ext>
          </a:extLst>
        </xdr:cNvPr>
        <xdr:cNvSpPr>
          <a:spLocks/>
        </xdr:cNvSpPr>
      </xdr:nvSpPr>
      <xdr:spPr>
        <a:xfrm>
          <a:off x="4753936" y="4749800"/>
          <a:ext cx="457199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HXF1</a:t>
          </a:r>
        </a:p>
      </xdr:txBody>
    </xdr:sp>
    <xdr:clientData/>
  </xdr:twoCellAnchor>
  <xdr:twoCellAnchor>
    <xdr:from>
      <xdr:col>6</xdr:col>
      <xdr:colOff>258135</xdr:colOff>
      <xdr:row>24</xdr:row>
      <xdr:rowOff>101600</xdr:rowOff>
    </xdr:from>
    <xdr:to>
      <xdr:col>11</xdr:col>
      <xdr:colOff>317499</xdr:colOff>
      <xdr:row>24</xdr:row>
      <xdr:rowOff>101600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A1D3408-85E1-A743-8F3D-9640051C92AA}"/>
            </a:ext>
          </a:extLst>
        </xdr:cNvPr>
        <xdr:cNvCxnSpPr>
          <a:cxnSpLocks/>
          <a:stCxn id="6" idx="6"/>
          <a:endCxn id="2" idx="1"/>
        </xdr:cNvCxnSpPr>
      </xdr:nvCxnSpPr>
      <xdr:spPr>
        <a:xfrm>
          <a:off x="5388935" y="4978400"/>
          <a:ext cx="420803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23</xdr:row>
      <xdr:rowOff>76200</xdr:rowOff>
    </xdr:from>
    <xdr:to>
      <xdr:col>14</xdr:col>
      <xdr:colOff>241300</xdr:colOff>
      <xdr:row>25</xdr:row>
      <xdr:rowOff>127000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2697B6B-38FA-0844-B40E-D0F297C778E1}"/>
            </a:ext>
          </a:extLst>
        </xdr:cNvPr>
        <xdr:cNvSpPr>
          <a:spLocks/>
        </xdr:cNvSpPr>
      </xdr:nvSpPr>
      <xdr:spPr>
        <a:xfrm>
          <a:off x="114935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HXF2</a:t>
          </a:r>
        </a:p>
      </xdr:txBody>
    </xdr:sp>
    <xdr:clientData/>
  </xdr:twoCellAnchor>
  <xdr:twoCellAnchor>
    <xdr:from>
      <xdr:col>36</xdr:col>
      <xdr:colOff>256069</xdr:colOff>
      <xdr:row>24</xdr:row>
      <xdr:rowOff>101600</xdr:rowOff>
    </xdr:from>
    <xdr:to>
      <xdr:col>42</xdr:col>
      <xdr:colOff>319568</xdr:colOff>
      <xdr:row>24</xdr:row>
      <xdr:rowOff>101600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49ED7F4-F616-BE4C-BC16-A18080CD0FE3}"/>
            </a:ext>
          </a:extLst>
        </xdr:cNvPr>
        <xdr:cNvCxnSpPr>
          <a:cxnSpLocks/>
          <a:stCxn id="34" idx="6"/>
          <a:endCxn id="50" idx="1"/>
        </xdr:cNvCxnSpPr>
      </xdr:nvCxnSpPr>
      <xdr:spPr>
        <a:xfrm>
          <a:off x="30126469" y="4978400"/>
          <a:ext cx="5016499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241301</xdr:colOff>
      <xdr:row>24</xdr:row>
      <xdr:rowOff>101601</xdr:rowOff>
    </xdr:from>
    <xdr:to>
      <xdr:col>33</xdr:col>
      <xdr:colOff>328131</xdr:colOff>
      <xdr:row>24</xdr:row>
      <xdr:rowOff>101601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8F4FFE8-6436-9D44-A151-8D30CBED3E4C}"/>
            </a:ext>
          </a:extLst>
        </xdr:cNvPr>
        <xdr:cNvCxnSpPr>
          <a:cxnSpLocks/>
          <a:stCxn id="16" idx="6"/>
          <a:endCxn id="4" idx="1"/>
        </xdr:cNvCxnSpPr>
      </xdr:nvCxnSpPr>
      <xdr:spPr>
        <a:xfrm>
          <a:off x="26025254" y="5063461"/>
          <a:ext cx="174078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507999</xdr:colOff>
      <xdr:row>24</xdr:row>
      <xdr:rowOff>101601</xdr:rowOff>
    </xdr:from>
    <xdr:to>
      <xdr:col>30</xdr:col>
      <xdr:colOff>609599</xdr:colOff>
      <xdr:row>24</xdr:row>
      <xdr:rowOff>101601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47D3B87-CF0A-E54F-A810-D3DF72E255E3}"/>
            </a:ext>
          </a:extLst>
        </xdr:cNvPr>
        <xdr:cNvCxnSpPr>
          <a:stCxn id="3" idx="3"/>
          <a:endCxn id="16" idx="2"/>
        </xdr:cNvCxnSpPr>
      </xdr:nvCxnSpPr>
      <xdr:spPr>
        <a:xfrm>
          <a:off x="21330092" y="5063461"/>
          <a:ext cx="423648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241300</xdr:colOff>
      <xdr:row>24</xdr:row>
      <xdr:rowOff>101601</xdr:rowOff>
    </xdr:from>
    <xdr:to>
      <xdr:col>24</xdr:col>
      <xdr:colOff>317500</xdr:colOff>
      <xdr:row>24</xdr:row>
      <xdr:rowOff>101601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B8BC2FD-FB13-584E-9153-83A5D47FE273}"/>
            </a:ext>
          </a:extLst>
        </xdr:cNvPr>
        <xdr:cNvCxnSpPr>
          <a:cxnSpLocks/>
          <a:stCxn id="8" idx="6"/>
          <a:endCxn id="3" idx="1"/>
        </xdr:cNvCxnSpPr>
      </xdr:nvCxnSpPr>
      <xdr:spPr>
        <a:xfrm>
          <a:off x="11798300" y="4978401"/>
          <a:ext cx="83312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507999</xdr:colOff>
      <xdr:row>24</xdr:row>
      <xdr:rowOff>101601</xdr:rowOff>
    </xdr:from>
    <xdr:to>
      <xdr:col>13</xdr:col>
      <xdr:colOff>609600</xdr:colOff>
      <xdr:row>24</xdr:row>
      <xdr:rowOff>101601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107DB01-CB60-4340-B0F4-278A39506F84}"/>
            </a:ext>
          </a:extLst>
        </xdr:cNvPr>
        <xdr:cNvCxnSpPr>
          <a:stCxn id="2" idx="3"/>
          <a:endCxn id="8" idx="2"/>
        </xdr:cNvCxnSpPr>
      </xdr:nvCxnSpPr>
      <xdr:spPr>
        <a:xfrm>
          <a:off x="10413999" y="4978401"/>
          <a:ext cx="9271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609599</xdr:colOff>
      <xdr:row>23</xdr:row>
      <xdr:rowOff>76200</xdr:rowOff>
    </xdr:from>
    <xdr:to>
      <xdr:col>31</xdr:col>
      <xdr:colOff>241301</xdr:colOff>
      <xdr:row>25</xdr:row>
      <xdr:rowOff>127000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4819FA3-5173-DF44-8037-03508A0421E1}"/>
            </a:ext>
          </a:extLst>
        </xdr:cNvPr>
        <xdr:cNvSpPr>
          <a:spLocks/>
        </xdr:cNvSpPr>
      </xdr:nvSpPr>
      <xdr:spPr>
        <a:xfrm>
          <a:off x="25566576" y="4831316"/>
          <a:ext cx="458678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HXF2</a:t>
          </a:r>
        </a:p>
      </xdr:txBody>
    </xdr:sp>
    <xdr:clientData/>
  </xdr:twoCellAnchor>
  <xdr:twoCellAnchor>
    <xdr:from>
      <xdr:col>13</xdr:col>
      <xdr:colOff>12700</xdr:colOff>
      <xdr:row>12</xdr:row>
      <xdr:rowOff>38100</xdr:rowOff>
    </xdr:from>
    <xdr:to>
      <xdr:col>13</xdr:col>
      <xdr:colOff>609600</xdr:colOff>
      <xdr:row>24</xdr:row>
      <xdr:rowOff>101600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EC9BC00-94E5-FA4A-BE6F-754B2B109AFE}"/>
            </a:ext>
          </a:extLst>
        </xdr:cNvPr>
        <xdr:cNvCxnSpPr>
          <a:endCxn id="8" idx="2"/>
        </xdr:cNvCxnSpPr>
      </xdr:nvCxnSpPr>
      <xdr:spPr>
        <a:xfrm rot="16200000" flipH="1">
          <a:off x="9944100" y="3429000"/>
          <a:ext cx="2501900" cy="5969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626436</xdr:colOff>
      <xdr:row>24</xdr:row>
      <xdr:rowOff>101601</xdr:rowOff>
    </xdr:from>
    <xdr:to>
      <xdr:col>41</xdr:col>
      <xdr:colOff>708837</xdr:colOff>
      <xdr:row>55</xdr:row>
      <xdr:rowOff>125523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1ECF60AD-BD1D-8343-BDC3-7BDD16533D1D}"/>
            </a:ext>
          </a:extLst>
        </xdr:cNvPr>
        <xdr:cNvCxnSpPr>
          <a:stCxn id="72" idx="0"/>
          <a:endCxn id="6" idx="2"/>
        </xdr:cNvCxnSpPr>
      </xdr:nvCxnSpPr>
      <xdr:spPr>
        <a:xfrm rot="10800000">
          <a:off x="4906336" y="4978401"/>
          <a:ext cx="29800401" cy="6323122"/>
        </a:xfrm>
        <a:prstGeom prst="bentConnector3">
          <a:avLst>
            <a:gd name="adj1" fmla="val 100766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510067</xdr:colOff>
      <xdr:row>24</xdr:row>
      <xdr:rowOff>101600</xdr:rowOff>
    </xdr:from>
    <xdr:to>
      <xdr:col>52</xdr:col>
      <xdr:colOff>103373</xdr:colOff>
      <xdr:row>24</xdr:row>
      <xdr:rowOff>101601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299E0C8-049B-9047-ADB1-EA5A801C9172}"/>
            </a:ext>
          </a:extLst>
        </xdr:cNvPr>
        <xdr:cNvCxnSpPr>
          <a:stCxn id="5" idx="3"/>
        </xdr:cNvCxnSpPr>
      </xdr:nvCxnSpPr>
      <xdr:spPr>
        <a:xfrm flipV="1">
          <a:off x="40204951" y="5063460"/>
          <a:ext cx="2901213" cy="1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624368</xdr:colOff>
      <xdr:row>23</xdr:row>
      <xdr:rowOff>76200</xdr:rowOff>
    </xdr:from>
    <xdr:to>
      <xdr:col>36</xdr:col>
      <xdr:colOff>256069</xdr:colOff>
      <xdr:row>25</xdr:row>
      <xdr:rowOff>127000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3501958-DD7C-5B4A-9929-6BE7578554E5}"/>
            </a:ext>
          </a:extLst>
        </xdr:cNvPr>
        <xdr:cNvSpPr>
          <a:spLocks/>
        </xdr:cNvSpPr>
      </xdr:nvSpPr>
      <xdr:spPr>
        <a:xfrm>
          <a:off x="29516868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F1</a:t>
          </a:r>
          <a:endParaRPr lang="en-GB" sz="1100"/>
        </a:p>
      </xdr:txBody>
    </xdr:sp>
    <xdr:clientData/>
  </xdr:twoCellAnchor>
  <xdr:twoCellAnchor>
    <xdr:from>
      <xdr:col>36</xdr:col>
      <xdr:colOff>256069</xdr:colOff>
      <xdr:row>15</xdr:row>
      <xdr:rowOff>147674</xdr:rowOff>
    </xdr:from>
    <xdr:to>
      <xdr:col>38</xdr:col>
      <xdr:colOff>29535</xdr:colOff>
      <xdr:row>24</xdr:row>
      <xdr:rowOff>101600</xdr:rowOff>
    </xdr:to>
    <xdr:cxnSp macro="">
      <xdr:nvCxnSpPr>
        <xdr:cNvPr id="35" name="Elbow Connector 34">
          <a:extLst>
            <a:ext uri="{FF2B5EF4-FFF2-40B4-BE49-F238E27FC236}">
              <a16:creationId xmlns:a16="http://schemas.microsoft.com/office/drawing/2014/main" id="{B6C912C6-1E58-5D4B-9438-A724B1E390B7}"/>
            </a:ext>
          </a:extLst>
        </xdr:cNvPr>
        <xdr:cNvCxnSpPr>
          <a:cxnSpLocks/>
          <a:stCxn id="34" idx="6"/>
        </xdr:cNvCxnSpPr>
      </xdr:nvCxnSpPr>
      <xdr:spPr>
        <a:xfrm flipV="1">
          <a:off x="30126469" y="3195674"/>
          <a:ext cx="1424466" cy="1782726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518631</xdr:colOff>
      <xdr:row>24</xdr:row>
      <xdr:rowOff>101601</xdr:rowOff>
    </xdr:from>
    <xdr:to>
      <xdr:col>35</xdr:col>
      <xdr:colOff>624368</xdr:colOff>
      <xdr:row>24</xdr:row>
      <xdr:rowOff>101601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FA77543-746A-D148-8F1C-0B6C5BDE414B}"/>
            </a:ext>
          </a:extLst>
        </xdr:cNvPr>
        <xdr:cNvCxnSpPr>
          <a:stCxn id="4" idx="3"/>
          <a:endCxn id="34" idx="2"/>
        </xdr:cNvCxnSpPr>
      </xdr:nvCxnSpPr>
      <xdr:spPr>
        <a:xfrm>
          <a:off x="28585631" y="4978401"/>
          <a:ext cx="931237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319568</xdr:colOff>
      <xdr:row>23</xdr:row>
      <xdr:rowOff>76200</xdr:rowOff>
    </xdr:from>
    <xdr:to>
      <xdr:col>43</xdr:col>
      <xdr:colOff>510067</xdr:colOff>
      <xdr:row>25</xdr:row>
      <xdr:rowOff>127000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B181539-90AF-E52E-F0A4-580E542ABEF5}"/>
            </a:ext>
          </a:extLst>
        </xdr:cNvPr>
        <xdr:cNvSpPr>
          <a:spLocks/>
        </xdr:cNvSpPr>
      </xdr:nvSpPr>
      <xdr:spPr>
        <a:xfrm>
          <a:off x="35052591" y="4831316"/>
          <a:ext cx="1017476" cy="464289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CO2 removal (Std. Rectisol)</a:t>
          </a:r>
        </a:p>
      </xdr:txBody>
    </xdr:sp>
    <xdr:clientData/>
  </xdr:twoCellAnchor>
  <xdr:twoCellAnchor>
    <xdr:from>
      <xdr:col>43</xdr:col>
      <xdr:colOff>510067</xdr:colOff>
      <xdr:row>24</xdr:row>
      <xdr:rowOff>101601</xdr:rowOff>
    </xdr:from>
    <xdr:to>
      <xdr:col>47</xdr:col>
      <xdr:colOff>319568</xdr:colOff>
      <xdr:row>24</xdr:row>
      <xdr:rowOff>101601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935AD91-8871-144D-B7EA-14C4FD0E1ABB}"/>
            </a:ext>
          </a:extLst>
        </xdr:cNvPr>
        <xdr:cNvCxnSpPr>
          <a:stCxn id="50" idx="3"/>
          <a:endCxn id="5" idx="1"/>
        </xdr:cNvCxnSpPr>
      </xdr:nvCxnSpPr>
      <xdr:spPr>
        <a:xfrm>
          <a:off x="36070067" y="5063461"/>
          <a:ext cx="3117408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1329</xdr:colOff>
      <xdr:row>3</xdr:row>
      <xdr:rowOff>139700</xdr:rowOff>
    </xdr:from>
    <xdr:to>
      <xdr:col>43</xdr:col>
      <xdr:colOff>2068</xdr:colOff>
      <xdr:row>23</xdr:row>
      <xdr:rowOff>76200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8965DE39-1DA2-EB49-8F4E-793FFA3F642A}"/>
            </a:ext>
          </a:extLst>
        </xdr:cNvPr>
        <xdr:cNvCxnSpPr>
          <a:stCxn id="50" idx="0"/>
        </xdr:cNvCxnSpPr>
      </xdr:nvCxnSpPr>
      <xdr:spPr>
        <a:xfrm flipH="1" flipV="1">
          <a:off x="35650229" y="749300"/>
          <a:ext cx="739" cy="4000500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708837</xdr:colOff>
      <xdr:row>54</xdr:row>
      <xdr:rowOff>44302</xdr:rowOff>
    </xdr:from>
    <xdr:to>
      <xdr:col>43</xdr:col>
      <xdr:colOff>44302</xdr:colOff>
      <xdr:row>56</xdr:row>
      <xdr:rowOff>206744</xdr:rowOff>
    </xdr:to>
    <xdr:sp macro="" textlink="">
      <xdr:nvSpPr>
        <xdr:cNvPr id="72" name="Trapezium 71">
          <a:extLst>
            <a:ext uri="{FF2B5EF4-FFF2-40B4-BE49-F238E27FC236}">
              <a16:creationId xmlns:a16="http://schemas.microsoft.com/office/drawing/2014/main" id="{52980E5E-51B0-A54B-B6A0-6B1D96C4C742}"/>
            </a:ext>
          </a:extLst>
        </xdr:cNvPr>
        <xdr:cNvSpPr/>
      </xdr:nvSpPr>
      <xdr:spPr>
        <a:xfrm rot="16200000">
          <a:off x="34821628" y="11001744"/>
          <a:ext cx="575930" cy="989418"/>
        </a:xfrm>
        <a:prstGeom prst="trapezoid">
          <a:avLst/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/>
        <a:lstStyle/>
        <a:p>
          <a:pPr algn="ctr"/>
          <a:r>
            <a:rPr lang="en-GB" sz="1100"/>
            <a:t>Recycle gas compression</a:t>
          </a:r>
        </a:p>
      </xdr:txBody>
    </xdr:sp>
    <xdr:clientData/>
  </xdr:twoCellAnchor>
  <xdr:twoCellAnchor>
    <xdr:from>
      <xdr:col>43</xdr:col>
      <xdr:colOff>44302</xdr:colOff>
      <xdr:row>25</xdr:row>
      <xdr:rowOff>127001</xdr:rowOff>
    </xdr:from>
    <xdr:to>
      <xdr:col>48</xdr:col>
      <xdr:colOff>1329</xdr:colOff>
      <xdr:row>55</xdr:row>
      <xdr:rowOff>125524</xdr:rowOff>
    </xdr:to>
    <xdr:cxnSp macro="">
      <xdr:nvCxnSpPr>
        <xdr:cNvPr id="74" name="Elbow Connector 73">
          <a:extLst>
            <a:ext uri="{FF2B5EF4-FFF2-40B4-BE49-F238E27FC236}">
              <a16:creationId xmlns:a16="http://schemas.microsoft.com/office/drawing/2014/main" id="{8359D739-A4C7-2A43-8CED-F88DFD0B6307}"/>
            </a:ext>
          </a:extLst>
        </xdr:cNvPr>
        <xdr:cNvCxnSpPr>
          <a:stCxn id="5" idx="2"/>
          <a:endCxn id="72" idx="2"/>
        </xdr:cNvCxnSpPr>
      </xdr:nvCxnSpPr>
      <xdr:spPr>
        <a:xfrm rot="5400000">
          <a:off x="34549834" y="6350074"/>
          <a:ext cx="6200848" cy="4091911"/>
        </a:xfrm>
        <a:prstGeom prst="bentConnector2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826238</xdr:colOff>
      <xdr:row>25</xdr:row>
      <xdr:rowOff>127000</xdr:rowOff>
    </xdr:from>
    <xdr:to>
      <xdr:col>25</xdr:col>
      <xdr:colOff>0</xdr:colOff>
      <xdr:row>49</xdr:row>
      <xdr:rowOff>162442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C083B8B5-9588-7642-85E4-8769DF03E12D}"/>
            </a:ext>
          </a:extLst>
        </xdr:cNvPr>
        <xdr:cNvCxnSpPr>
          <a:endCxn id="3" idx="2"/>
        </xdr:cNvCxnSpPr>
      </xdr:nvCxnSpPr>
      <xdr:spPr>
        <a:xfrm flipH="1" flipV="1">
          <a:off x="20673680" y="5295605"/>
          <a:ext cx="739" cy="4997302"/>
        </a:xfrm>
        <a:prstGeom prst="straightConnector1">
          <a:avLst/>
        </a:prstGeom>
        <a:ln w="254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1329</xdr:colOff>
      <xdr:row>25</xdr:row>
      <xdr:rowOff>127000</xdr:rowOff>
    </xdr:from>
    <xdr:to>
      <xdr:col>48</xdr:col>
      <xdr:colOff>1329</xdr:colOff>
      <xdr:row>72</xdr:row>
      <xdr:rowOff>191977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EDCE9452-EDE8-AC4E-9D7A-19861FFB0A42}"/>
            </a:ext>
          </a:extLst>
        </xdr:cNvPr>
        <xdr:cNvCxnSpPr>
          <a:stCxn id="5" idx="2"/>
        </xdr:cNvCxnSpPr>
      </xdr:nvCxnSpPr>
      <xdr:spPr>
        <a:xfrm>
          <a:off x="39696213" y="5295605"/>
          <a:ext cx="0" cy="9781953"/>
        </a:xfrm>
        <a:prstGeom prst="straightConnector1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423333</xdr:colOff>
      <xdr:row>23</xdr:row>
      <xdr:rowOff>0</xdr:rowOff>
    </xdr:from>
    <xdr:to>
      <xdr:col>29</xdr:col>
      <xdr:colOff>372533</xdr:colOff>
      <xdr:row>26</xdr:row>
      <xdr:rowOff>25400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8C355F6-317B-FD1D-F53F-6AB9B324F737}"/>
            </a:ext>
          </a:extLst>
        </xdr:cNvPr>
        <xdr:cNvSpPr/>
      </xdr:nvSpPr>
      <xdr:spPr>
        <a:xfrm>
          <a:off x="17170400" y="4673600"/>
          <a:ext cx="7416800" cy="635000"/>
        </a:xfrm>
        <a:prstGeom prst="rect">
          <a:avLst/>
        </a:prstGeom>
        <a:noFill/>
        <a:ln w="25400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607434</xdr:colOff>
      <xdr:row>23</xdr:row>
      <xdr:rowOff>76200</xdr:rowOff>
    </xdr:from>
    <xdr:to>
      <xdr:col>29</xdr:col>
      <xdr:colOff>239134</xdr:colOff>
      <xdr:row>25</xdr:row>
      <xdr:rowOff>127000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D14D5CC-1541-CC68-BC36-6E0F4759E397}"/>
            </a:ext>
          </a:extLst>
        </xdr:cNvPr>
        <xdr:cNvSpPr>
          <a:spLocks/>
        </xdr:cNvSpPr>
      </xdr:nvSpPr>
      <xdr:spPr>
        <a:xfrm>
          <a:off x="23992367" y="4749800"/>
          <a:ext cx="461434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HXI</a:t>
          </a:r>
        </a:p>
      </xdr:txBody>
    </xdr:sp>
    <xdr:clientData/>
  </xdr:twoCellAnchor>
  <xdr:twoCellAnchor>
    <xdr:from>
      <xdr:col>20</xdr:col>
      <xdr:colOff>609598</xdr:colOff>
      <xdr:row>23</xdr:row>
      <xdr:rowOff>76200</xdr:rowOff>
    </xdr:from>
    <xdr:to>
      <xdr:col>21</xdr:col>
      <xdr:colOff>241299</xdr:colOff>
      <xdr:row>25</xdr:row>
      <xdr:rowOff>127000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C1F3FF3-0483-08B7-2E56-F8ECAAA446FA}"/>
            </a:ext>
          </a:extLst>
        </xdr:cNvPr>
        <xdr:cNvSpPr>
          <a:spLocks/>
        </xdr:cNvSpPr>
      </xdr:nvSpPr>
      <xdr:spPr>
        <a:xfrm>
          <a:off x="17356665" y="4749800"/>
          <a:ext cx="461434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44303</xdr:colOff>
      <xdr:row>24</xdr:row>
      <xdr:rowOff>101601</xdr:rowOff>
    </xdr:from>
    <xdr:to>
      <xdr:col>5</xdr:col>
      <xdr:colOff>626436</xdr:colOff>
      <xdr:row>24</xdr:row>
      <xdr:rowOff>101601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14102FD-5F92-7F4E-9BAA-13B9CB30E2FF}"/>
            </a:ext>
          </a:extLst>
        </xdr:cNvPr>
        <xdr:cNvCxnSpPr>
          <a:endCxn id="7" idx="2"/>
        </xdr:cNvCxnSpPr>
      </xdr:nvCxnSpPr>
      <xdr:spPr>
        <a:xfrm>
          <a:off x="1695303" y="4978401"/>
          <a:ext cx="3211033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317499</xdr:colOff>
      <xdr:row>23</xdr:row>
      <xdr:rowOff>76200</xdr:rowOff>
    </xdr:from>
    <xdr:to>
      <xdr:col>12</xdr:col>
      <xdr:colOff>507999</xdr:colOff>
      <xdr:row>25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E68ED3F-5C9F-0945-B4BB-EA5302B5BC39}"/>
            </a:ext>
          </a:extLst>
        </xdr:cNvPr>
        <xdr:cNvSpPr>
          <a:spLocks/>
        </xdr:cNvSpPr>
      </xdr:nvSpPr>
      <xdr:spPr>
        <a:xfrm>
          <a:off x="9550399" y="4749800"/>
          <a:ext cx="1016000" cy="457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24</xdr:col>
      <xdr:colOff>317500</xdr:colOff>
      <xdr:row>23</xdr:row>
      <xdr:rowOff>76200</xdr:rowOff>
    </xdr:from>
    <xdr:to>
      <xdr:col>25</xdr:col>
      <xdr:colOff>507999</xdr:colOff>
      <xdr:row>25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8F09AA1-63D4-AE4D-96E5-D7EB83D71487}"/>
            </a:ext>
          </a:extLst>
        </xdr:cNvPr>
        <xdr:cNvSpPr>
          <a:spLocks/>
        </xdr:cNvSpPr>
      </xdr:nvSpPr>
      <xdr:spPr>
        <a:xfrm>
          <a:off x="202819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eSMR</a:t>
          </a:r>
        </a:p>
      </xdr:txBody>
    </xdr:sp>
    <xdr:clientData/>
  </xdr:twoCellAnchor>
  <xdr:twoCellAnchor>
    <xdr:from>
      <xdr:col>33</xdr:col>
      <xdr:colOff>328131</xdr:colOff>
      <xdr:row>23</xdr:row>
      <xdr:rowOff>76200</xdr:rowOff>
    </xdr:from>
    <xdr:to>
      <xdr:col>34</xdr:col>
      <xdr:colOff>518631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ACCC0D0-53F8-4444-9541-848E7616B8B2}"/>
            </a:ext>
          </a:extLst>
        </xdr:cNvPr>
        <xdr:cNvSpPr>
          <a:spLocks/>
        </xdr:cNvSpPr>
      </xdr:nvSpPr>
      <xdr:spPr>
        <a:xfrm>
          <a:off x="27722031" y="4749800"/>
          <a:ext cx="1016000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47</xdr:col>
      <xdr:colOff>319568</xdr:colOff>
      <xdr:row>23</xdr:row>
      <xdr:rowOff>76200</xdr:rowOff>
    </xdr:from>
    <xdr:to>
      <xdr:col>48</xdr:col>
      <xdr:colOff>510067</xdr:colOff>
      <xdr:row>25</xdr:row>
      <xdr:rowOff>127000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F13CAA-6AE4-BE4B-B20A-DB219AD5DE55}"/>
            </a:ext>
          </a:extLst>
        </xdr:cNvPr>
        <xdr:cNvSpPr>
          <a:spLocks/>
        </xdr:cNvSpPr>
      </xdr:nvSpPr>
      <xdr:spPr>
        <a:xfrm>
          <a:off x="39270468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5</xdr:col>
      <xdr:colOff>626436</xdr:colOff>
      <xdr:row>23</xdr:row>
      <xdr:rowOff>76200</xdr:rowOff>
    </xdr:from>
    <xdr:to>
      <xdr:col>6</xdr:col>
      <xdr:colOff>258135</xdr:colOff>
      <xdr:row>25</xdr:row>
      <xdr:rowOff>127000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FFE22B6-0BC7-484D-B0A2-94CF83266DC2}"/>
            </a:ext>
          </a:extLst>
        </xdr:cNvPr>
        <xdr:cNvSpPr>
          <a:spLocks/>
        </xdr:cNvSpPr>
      </xdr:nvSpPr>
      <xdr:spPr>
        <a:xfrm>
          <a:off x="4906336" y="4749800"/>
          <a:ext cx="457199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HXF1</a:t>
          </a:r>
        </a:p>
      </xdr:txBody>
    </xdr:sp>
    <xdr:clientData/>
  </xdr:twoCellAnchor>
  <xdr:twoCellAnchor>
    <xdr:from>
      <xdr:col>6</xdr:col>
      <xdr:colOff>258135</xdr:colOff>
      <xdr:row>24</xdr:row>
      <xdr:rowOff>101600</xdr:rowOff>
    </xdr:from>
    <xdr:to>
      <xdr:col>11</xdr:col>
      <xdr:colOff>317499</xdr:colOff>
      <xdr:row>24</xdr:row>
      <xdr:rowOff>101600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2E52269-D8D5-F343-B6E0-84EDAD9889A8}"/>
            </a:ext>
          </a:extLst>
        </xdr:cNvPr>
        <xdr:cNvCxnSpPr>
          <a:cxnSpLocks/>
          <a:stCxn id="7" idx="6"/>
          <a:endCxn id="3" idx="1"/>
        </xdr:cNvCxnSpPr>
      </xdr:nvCxnSpPr>
      <xdr:spPr>
        <a:xfrm>
          <a:off x="5363535" y="4978400"/>
          <a:ext cx="4186864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23</xdr:row>
      <xdr:rowOff>76200</xdr:rowOff>
    </xdr:from>
    <xdr:to>
      <xdr:col>14</xdr:col>
      <xdr:colOff>241300</xdr:colOff>
      <xdr:row>25</xdr:row>
      <xdr:rowOff>127000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CBEB185F-4A8A-A04A-B1E5-8328212D6512}"/>
            </a:ext>
          </a:extLst>
        </xdr:cNvPr>
        <xdr:cNvSpPr>
          <a:spLocks/>
        </xdr:cNvSpPr>
      </xdr:nvSpPr>
      <xdr:spPr>
        <a:xfrm>
          <a:off x="114935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HXF2</a:t>
          </a:r>
        </a:p>
      </xdr:txBody>
    </xdr:sp>
    <xdr:clientData/>
  </xdr:twoCellAnchor>
  <xdr:twoCellAnchor>
    <xdr:from>
      <xdr:col>36</xdr:col>
      <xdr:colOff>256069</xdr:colOff>
      <xdr:row>24</xdr:row>
      <xdr:rowOff>101600</xdr:rowOff>
    </xdr:from>
    <xdr:to>
      <xdr:col>42</xdr:col>
      <xdr:colOff>319568</xdr:colOff>
      <xdr:row>24</xdr:row>
      <xdr:rowOff>101600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21CCE03-A67B-FF4F-AA10-87FEC6736384}"/>
            </a:ext>
          </a:extLst>
        </xdr:cNvPr>
        <xdr:cNvCxnSpPr>
          <a:cxnSpLocks/>
          <a:stCxn id="19" idx="6"/>
          <a:endCxn id="22" idx="1"/>
        </xdr:cNvCxnSpPr>
      </xdr:nvCxnSpPr>
      <xdr:spPr>
        <a:xfrm>
          <a:off x="30126469" y="4978400"/>
          <a:ext cx="5016499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241301</xdr:colOff>
      <xdr:row>24</xdr:row>
      <xdr:rowOff>101601</xdr:rowOff>
    </xdr:from>
    <xdr:to>
      <xdr:col>33</xdr:col>
      <xdr:colOff>328131</xdr:colOff>
      <xdr:row>24</xdr:row>
      <xdr:rowOff>101601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34BC49A-7974-F544-BA48-7D20C7214B0F}"/>
            </a:ext>
          </a:extLst>
        </xdr:cNvPr>
        <xdr:cNvCxnSpPr>
          <a:cxnSpLocks/>
          <a:stCxn id="15" idx="6"/>
          <a:endCxn id="5" idx="1"/>
        </xdr:cNvCxnSpPr>
      </xdr:nvCxnSpPr>
      <xdr:spPr>
        <a:xfrm>
          <a:off x="25984201" y="4978401"/>
          <a:ext cx="173783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507999</xdr:colOff>
      <xdr:row>24</xdr:row>
      <xdr:rowOff>101601</xdr:rowOff>
    </xdr:from>
    <xdr:to>
      <xdr:col>30</xdr:col>
      <xdr:colOff>609599</xdr:colOff>
      <xdr:row>24</xdr:row>
      <xdr:rowOff>101601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C942BC5-CCF8-564B-898F-BF844F59FF2D}"/>
            </a:ext>
          </a:extLst>
        </xdr:cNvPr>
        <xdr:cNvCxnSpPr>
          <a:stCxn id="4" idx="3"/>
          <a:endCxn id="15" idx="2"/>
        </xdr:cNvCxnSpPr>
      </xdr:nvCxnSpPr>
      <xdr:spPr>
        <a:xfrm>
          <a:off x="21297899" y="4978401"/>
          <a:ext cx="42291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241300</xdr:colOff>
      <xdr:row>24</xdr:row>
      <xdr:rowOff>101601</xdr:rowOff>
    </xdr:from>
    <xdr:to>
      <xdr:col>24</xdr:col>
      <xdr:colOff>317500</xdr:colOff>
      <xdr:row>24</xdr:row>
      <xdr:rowOff>101601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7DCFD63-A8D4-5E48-A2F2-1C8871F88A42}"/>
            </a:ext>
          </a:extLst>
        </xdr:cNvPr>
        <xdr:cNvCxnSpPr>
          <a:cxnSpLocks/>
          <a:stCxn id="9" idx="6"/>
          <a:endCxn id="4" idx="1"/>
        </xdr:cNvCxnSpPr>
      </xdr:nvCxnSpPr>
      <xdr:spPr>
        <a:xfrm>
          <a:off x="11950700" y="4978401"/>
          <a:ext cx="83312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507999</xdr:colOff>
      <xdr:row>24</xdr:row>
      <xdr:rowOff>101601</xdr:rowOff>
    </xdr:from>
    <xdr:to>
      <xdr:col>13</xdr:col>
      <xdr:colOff>609600</xdr:colOff>
      <xdr:row>24</xdr:row>
      <xdr:rowOff>101601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E350AF1-BF0D-7F40-BDCC-AFEFFC65FB4F}"/>
            </a:ext>
          </a:extLst>
        </xdr:cNvPr>
        <xdr:cNvCxnSpPr>
          <a:stCxn id="3" idx="3"/>
          <a:endCxn id="9" idx="2"/>
        </xdr:cNvCxnSpPr>
      </xdr:nvCxnSpPr>
      <xdr:spPr>
        <a:xfrm>
          <a:off x="10566399" y="4978401"/>
          <a:ext cx="9271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609599</xdr:colOff>
      <xdr:row>23</xdr:row>
      <xdr:rowOff>76200</xdr:rowOff>
    </xdr:from>
    <xdr:to>
      <xdr:col>31</xdr:col>
      <xdr:colOff>241301</xdr:colOff>
      <xdr:row>25</xdr:row>
      <xdr:rowOff>127000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16BB37F-9EBE-A04D-85BF-CE1C86671C2C}"/>
            </a:ext>
          </a:extLst>
        </xdr:cNvPr>
        <xdr:cNvSpPr>
          <a:spLocks/>
        </xdr:cNvSpPr>
      </xdr:nvSpPr>
      <xdr:spPr>
        <a:xfrm>
          <a:off x="25526999" y="4749800"/>
          <a:ext cx="457202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HXF2</a:t>
          </a:r>
        </a:p>
      </xdr:txBody>
    </xdr:sp>
    <xdr:clientData/>
  </xdr:twoCellAnchor>
  <xdr:twoCellAnchor>
    <xdr:from>
      <xdr:col>13</xdr:col>
      <xdr:colOff>12700</xdr:colOff>
      <xdr:row>12</xdr:row>
      <xdr:rowOff>38100</xdr:rowOff>
    </xdr:from>
    <xdr:to>
      <xdr:col>13</xdr:col>
      <xdr:colOff>609600</xdr:colOff>
      <xdr:row>24</xdr:row>
      <xdr:rowOff>101600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E6B5B585-A8E2-504A-81A4-E5F2F20F851D}"/>
            </a:ext>
          </a:extLst>
        </xdr:cNvPr>
        <xdr:cNvCxnSpPr>
          <a:endCxn id="9" idx="2"/>
        </xdr:cNvCxnSpPr>
      </xdr:nvCxnSpPr>
      <xdr:spPr>
        <a:xfrm rot="16200000" flipH="1">
          <a:off x="9944100" y="3429000"/>
          <a:ext cx="2501900" cy="5969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626436</xdr:colOff>
      <xdr:row>24</xdr:row>
      <xdr:rowOff>101601</xdr:rowOff>
    </xdr:from>
    <xdr:to>
      <xdr:col>41</xdr:col>
      <xdr:colOff>708837</xdr:colOff>
      <xdr:row>55</xdr:row>
      <xdr:rowOff>125523</xdr:rowOff>
    </xdr:to>
    <xdr:cxnSp macro="">
      <xdr:nvCxnSpPr>
        <xdr:cNvPr id="17" name="Elbow Connector 16">
          <a:extLst>
            <a:ext uri="{FF2B5EF4-FFF2-40B4-BE49-F238E27FC236}">
              <a16:creationId xmlns:a16="http://schemas.microsoft.com/office/drawing/2014/main" id="{D3CF9543-C503-7944-8349-D2C64923F083}"/>
            </a:ext>
          </a:extLst>
        </xdr:cNvPr>
        <xdr:cNvCxnSpPr>
          <a:stCxn id="25" idx="0"/>
          <a:endCxn id="7" idx="2"/>
        </xdr:cNvCxnSpPr>
      </xdr:nvCxnSpPr>
      <xdr:spPr>
        <a:xfrm rot="10800000">
          <a:off x="4906336" y="4978401"/>
          <a:ext cx="29800401" cy="6323122"/>
        </a:xfrm>
        <a:prstGeom prst="bentConnector3">
          <a:avLst>
            <a:gd name="adj1" fmla="val 100766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510067</xdr:colOff>
      <xdr:row>24</xdr:row>
      <xdr:rowOff>101600</xdr:rowOff>
    </xdr:from>
    <xdr:to>
      <xdr:col>52</xdr:col>
      <xdr:colOff>103373</xdr:colOff>
      <xdr:row>24</xdr:row>
      <xdr:rowOff>101601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19A148A-7FBC-D54B-BE42-020F78A5620A}"/>
            </a:ext>
          </a:extLst>
        </xdr:cNvPr>
        <xdr:cNvCxnSpPr>
          <a:stCxn id="6" idx="3"/>
        </xdr:cNvCxnSpPr>
      </xdr:nvCxnSpPr>
      <xdr:spPr>
        <a:xfrm flipV="1">
          <a:off x="40286467" y="4978400"/>
          <a:ext cx="2895306" cy="1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624368</xdr:colOff>
      <xdr:row>23</xdr:row>
      <xdr:rowOff>76200</xdr:rowOff>
    </xdr:from>
    <xdr:to>
      <xdr:col>36</xdr:col>
      <xdr:colOff>256069</xdr:colOff>
      <xdr:row>25</xdr:row>
      <xdr:rowOff>127000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4CB93E60-0704-1C45-92B0-5B1743D87DC3}"/>
            </a:ext>
          </a:extLst>
        </xdr:cNvPr>
        <xdr:cNvSpPr>
          <a:spLocks/>
        </xdr:cNvSpPr>
      </xdr:nvSpPr>
      <xdr:spPr>
        <a:xfrm>
          <a:off x="29669268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F1</a:t>
          </a:r>
          <a:endParaRPr lang="en-GB" sz="1100"/>
        </a:p>
      </xdr:txBody>
    </xdr:sp>
    <xdr:clientData/>
  </xdr:twoCellAnchor>
  <xdr:twoCellAnchor>
    <xdr:from>
      <xdr:col>36</xdr:col>
      <xdr:colOff>256069</xdr:colOff>
      <xdr:row>15</xdr:row>
      <xdr:rowOff>147674</xdr:rowOff>
    </xdr:from>
    <xdr:to>
      <xdr:col>38</xdr:col>
      <xdr:colOff>29535</xdr:colOff>
      <xdr:row>24</xdr:row>
      <xdr:rowOff>101600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3CB14DE9-7890-7A41-A560-37D3C8DEFE09}"/>
            </a:ext>
          </a:extLst>
        </xdr:cNvPr>
        <xdr:cNvCxnSpPr>
          <a:cxnSpLocks/>
          <a:stCxn id="19" idx="6"/>
        </xdr:cNvCxnSpPr>
      </xdr:nvCxnSpPr>
      <xdr:spPr>
        <a:xfrm flipV="1">
          <a:off x="30126469" y="3195674"/>
          <a:ext cx="1424466" cy="1782726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518631</xdr:colOff>
      <xdr:row>24</xdr:row>
      <xdr:rowOff>101601</xdr:rowOff>
    </xdr:from>
    <xdr:to>
      <xdr:col>35</xdr:col>
      <xdr:colOff>624368</xdr:colOff>
      <xdr:row>24</xdr:row>
      <xdr:rowOff>101601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585DE1E-3746-AE46-ADC3-6D5275E91E9F}"/>
            </a:ext>
          </a:extLst>
        </xdr:cNvPr>
        <xdr:cNvCxnSpPr>
          <a:stCxn id="5" idx="3"/>
          <a:endCxn id="19" idx="2"/>
        </xdr:cNvCxnSpPr>
      </xdr:nvCxnSpPr>
      <xdr:spPr>
        <a:xfrm>
          <a:off x="28738031" y="4978401"/>
          <a:ext cx="931237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319568</xdr:colOff>
      <xdr:row>23</xdr:row>
      <xdr:rowOff>76200</xdr:rowOff>
    </xdr:from>
    <xdr:to>
      <xdr:col>43</xdr:col>
      <xdr:colOff>510067</xdr:colOff>
      <xdr:row>25</xdr:row>
      <xdr:rowOff>127000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8769BF5-F3AA-924A-8885-3381191DFE93}"/>
            </a:ext>
          </a:extLst>
        </xdr:cNvPr>
        <xdr:cNvSpPr>
          <a:spLocks/>
        </xdr:cNvSpPr>
      </xdr:nvSpPr>
      <xdr:spPr>
        <a:xfrm>
          <a:off x="35142968" y="4749800"/>
          <a:ext cx="1015999" cy="457200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CO2 removal (Std. Rectisol)</a:t>
          </a:r>
        </a:p>
      </xdr:txBody>
    </xdr:sp>
    <xdr:clientData/>
  </xdr:twoCellAnchor>
  <xdr:twoCellAnchor>
    <xdr:from>
      <xdr:col>43</xdr:col>
      <xdr:colOff>510067</xdr:colOff>
      <xdr:row>24</xdr:row>
      <xdr:rowOff>101601</xdr:rowOff>
    </xdr:from>
    <xdr:to>
      <xdr:col>47</xdr:col>
      <xdr:colOff>319568</xdr:colOff>
      <xdr:row>24</xdr:row>
      <xdr:rowOff>101601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0FFF127-30F6-104A-9DA8-29ACEF167BE0}"/>
            </a:ext>
          </a:extLst>
        </xdr:cNvPr>
        <xdr:cNvCxnSpPr>
          <a:stCxn id="22" idx="3"/>
          <a:endCxn id="6" idx="1"/>
        </xdr:cNvCxnSpPr>
      </xdr:nvCxnSpPr>
      <xdr:spPr>
        <a:xfrm>
          <a:off x="36158967" y="4978401"/>
          <a:ext cx="31115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1329</xdr:colOff>
      <xdr:row>3</xdr:row>
      <xdr:rowOff>139700</xdr:rowOff>
    </xdr:from>
    <xdr:to>
      <xdr:col>43</xdr:col>
      <xdr:colOff>2068</xdr:colOff>
      <xdr:row>23</xdr:row>
      <xdr:rowOff>76200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13D84D6-EA86-0B4A-9D4A-CAF3B2290EAE}"/>
            </a:ext>
          </a:extLst>
        </xdr:cNvPr>
        <xdr:cNvCxnSpPr>
          <a:stCxn id="22" idx="0"/>
        </xdr:cNvCxnSpPr>
      </xdr:nvCxnSpPr>
      <xdr:spPr>
        <a:xfrm flipH="1" flipV="1">
          <a:off x="35650229" y="749300"/>
          <a:ext cx="739" cy="4000500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708837</xdr:colOff>
      <xdr:row>54</xdr:row>
      <xdr:rowOff>44302</xdr:rowOff>
    </xdr:from>
    <xdr:to>
      <xdr:col>43</xdr:col>
      <xdr:colOff>44302</xdr:colOff>
      <xdr:row>56</xdr:row>
      <xdr:rowOff>206744</xdr:rowOff>
    </xdr:to>
    <xdr:sp macro="" textlink="">
      <xdr:nvSpPr>
        <xdr:cNvPr id="25" name="Trapezium 24">
          <a:extLst>
            <a:ext uri="{FF2B5EF4-FFF2-40B4-BE49-F238E27FC236}">
              <a16:creationId xmlns:a16="http://schemas.microsoft.com/office/drawing/2014/main" id="{8F5B263E-642D-6B48-A1A8-6B6827E84A22}"/>
            </a:ext>
          </a:extLst>
        </xdr:cNvPr>
        <xdr:cNvSpPr/>
      </xdr:nvSpPr>
      <xdr:spPr>
        <a:xfrm rot="16200000">
          <a:off x="34915549" y="10808290"/>
          <a:ext cx="568842" cy="986465"/>
        </a:xfrm>
        <a:prstGeom prst="trapezoid">
          <a:avLst/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/>
        <a:lstStyle/>
        <a:p>
          <a:pPr algn="ctr"/>
          <a:r>
            <a:rPr lang="en-GB" sz="1100"/>
            <a:t>Recycle gas compression</a:t>
          </a:r>
        </a:p>
      </xdr:txBody>
    </xdr:sp>
    <xdr:clientData/>
  </xdr:twoCellAnchor>
  <xdr:twoCellAnchor>
    <xdr:from>
      <xdr:col>43</xdr:col>
      <xdr:colOff>44302</xdr:colOff>
      <xdr:row>25</xdr:row>
      <xdr:rowOff>127001</xdr:rowOff>
    </xdr:from>
    <xdr:to>
      <xdr:col>48</xdr:col>
      <xdr:colOff>1329</xdr:colOff>
      <xdr:row>55</xdr:row>
      <xdr:rowOff>125524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D6D3BDE6-5841-B941-B7CA-4070FD085A27}"/>
            </a:ext>
          </a:extLst>
        </xdr:cNvPr>
        <xdr:cNvCxnSpPr>
          <a:stCxn id="6" idx="2"/>
          <a:endCxn id="25" idx="2"/>
        </xdr:cNvCxnSpPr>
      </xdr:nvCxnSpPr>
      <xdr:spPr>
        <a:xfrm rot="5400000">
          <a:off x="34688204" y="6211999"/>
          <a:ext cx="6094523" cy="4084527"/>
        </a:xfrm>
        <a:prstGeom prst="bentConnector2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826238</xdr:colOff>
      <xdr:row>25</xdr:row>
      <xdr:rowOff>127000</xdr:rowOff>
    </xdr:from>
    <xdr:to>
      <xdr:col>25</xdr:col>
      <xdr:colOff>0</xdr:colOff>
      <xdr:row>49</xdr:row>
      <xdr:rowOff>162442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031EF0F-B0EE-DB4B-A4F1-2EDD1963C705}"/>
            </a:ext>
          </a:extLst>
        </xdr:cNvPr>
        <xdr:cNvCxnSpPr>
          <a:endCxn id="4" idx="2"/>
        </xdr:cNvCxnSpPr>
      </xdr:nvCxnSpPr>
      <xdr:spPr>
        <a:xfrm flipH="1" flipV="1">
          <a:off x="20790638" y="5207000"/>
          <a:ext cx="0" cy="4912242"/>
        </a:xfrm>
        <a:prstGeom prst="straightConnector1">
          <a:avLst/>
        </a:prstGeom>
        <a:ln w="254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1329</xdr:colOff>
      <xdr:row>25</xdr:row>
      <xdr:rowOff>127000</xdr:rowOff>
    </xdr:from>
    <xdr:to>
      <xdr:col>48</xdr:col>
      <xdr:colOff>1329</xdr:colOff>
      <xdr:row>72</xdr:row>
      <xdr:rowOff>191977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FB18E32-15A2-4B4D-86D6-9E98272B6908}"/>
            </a:ext>
          </a:extLst>
        </xdr:cNvPr>
        <xdr:cNvCxnSpPr>
          <a:stCxn id="6" idx="2"/>
        </xdr:cNvCxnSpPr>
      </xdr:nvCxnSpPr>
      <xdr:spPr>
        <a:xfrm>
          <a:off x="39777729" y="5207000"/>
          <a:ext cx="0" cy="9615377"/>
        </a:xfrm>
        <a:prstGeom prst="straightConnector1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423333</xdr:colOff>
      <xdr:row>23</xdr:row>
      <xdr:rowOff>0</xdr:rowOff>
    </xdr:from>
    <xdr:to>
      <xdr:col>29</xdr:col>
      <xdr:colOff>372533</xdr:colOff>
      <xdr:row>26</xdr:row>
      <xdr:rowOff>25400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5AE9786-7657-1145-94EA-821D07C9BFFB}"/>
            </a:ext>
          </a:extLst>
        </xdr:cNvPr>
        <xdr:cNvSpPr/>
      </xdr:nvSpPr>
      <xdr:spPr>
        <a:xfrm>
          <a:off x="17085733" y="4673600"/>
          <a:ext cx="7378700" cy="635000"/>
        </a:xfrm>
        <a:prstGeom prst="rect">
          <a:avLst/>
        </a:prstGeom>
        <a:noFill/>
        <a:ln w="25400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607434</xdr:colOff>
      <xdr:row>23</xdr:row>
      <xdr:rowOff>76200</xdr:rowOff>
    </xdr:from>
    <xdr:to>
      <xdr:col>29</xdr:col>
      <xdr:colOff>239134</xdr:colOff>
      <xdr:row>25</xdr:row>
      <xdr:rowOff>127000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D6DE9FB-D136-D44F-ADBA-B74A3251DC2B}"/>
            </a:ext>
          </a:extLst>
        </xdr:cNvPr>
        <xdr:cNvSpPr>
          <a:spLocks/>
        </xdr:cNvSpPr>
      </xdr:nvSpPr>
      <xdr:spPr>
        <a:xfrm>
          <a:off x="23873834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HXI</a:t>
          </a:r>
        </a:p>
      </xdr:txBody>
    </xdr:sp>
    <xdr:clientData/>
  </xdr:twoCellAnchor>
  <xdr:twoCellAnchor>
    <xdr:from>
      <xdr:col>20</xdr:col>
      <xdr:colOff>609598</xdr:colOff>
      <xdr:row>23</xdr:row>
      <xdr:rowOff>76200</xdr:rowOff>
    </xdr:from>
    <xdr:to>
      <xdr:col>21</xdr:col>
      <xdr:colOff>241299</xdr:colOff>
      <xdr:row>25</xdr:row>
      <xdr:rowOff>127000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0928F03-6BB9-3A46-A1D9-F2F382D05BF0}"/>
            </a:ext>
          </a:extLst>
        </xdr:cNvPr>
        <xdr:cNvSpPr>
          <a:spLocks/>
        </xdr:cNvSpPr>
      </xdr:nvSpPr>
      <xdr:spPr>
        <a:xfrm>
          <a:off x="17271998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317499</xdr:colOff>
      <xdr:row>23</xdr:row>
      <xdr:rowOff>76200</xdr:rowOff>
    </xdr:from>
    <xdr:to>
      <xdr:col>12</xdr:col>
      <xdr:colOff>507999</xdr:colOff>
      <xdr:row>25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48FD80-111B-874D-A477-7A8AB7FC054F}"/>
            </a:ext>
          </a:extLst>
        </xdr:cNvPr>
        <xdr:cNvSpPr>
          <a:spLocks/>
        </xdr:cNvSpPr>
      </xdr:nvSpPr>
      <xdr:spPr>
        <a:xfrm>
          <a:off x="7760290" y="4831316"/>
          <a:ext cx="1017476" cy="464289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24</xdr:col>
      <xdr:colOff>317500</xdr:colOff>
      <xdr:row>23</xdr:row>
      <xdr:rowOff>76200</xdr:rowOff>
    </xdr:from>
    <xdr:to>
      <xdr:col>25</xdr:col>
      <xdr:colOff>507999</xdr:colOff>
      <xdr:row>25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2BCEDEA-D5CC-8746-8743-7884014B23BB}"/>
            </a:ext>
          </a:extLst>
        </xdr:cNvPr>
        <xdr:cNvSpPr>
          <a:spLocks/>
        </xdr:cNvSpPr>
      </xdr:nvSpPr>
      <xdr:spPr>
        <a:xfrm>
          <a:off x="160020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SMR</a:t>
          </a:r>
        </a:p>
      </xdr:txBody>
    </xdr:sp>
    <xdr:clientData/>
  </xdr:twoCellAnchor>
  <xdr:twoCellAnchor>
    <xdr:from>
      <xdr:col>33</xdr:col>
      <xdr:colOff>328131</xdr:colOff>
      <xdr:row>23</xdr:row>
      <xdr:rowOff>76200</xdr:rowOff>
    </xdr:from>
    <xdr:to>
      <xdr:col>34</xdr:col>
      <xdr:colOff>518631</xdr:colOff>
      <xdr:row>25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1E1C3E-1D39-DF40-A481-BD731369D5B3}"/>
            </a:ext>
          </a:extLst>
        </xdr:cNvPr>
        <xdr:cNvSpPr>
          <a:spLocks/>
        </xdr:cNvSpPr>
      </xdr:nvSpPr>
      <xdr:spPr>
        <a:xfrm>
          <a:off x="27618364" y="4831316"/>
          <a:ext cx="1017476" cy="46428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41</xdr:col>
      <xdr:colOff>290033</xdr:colOff>
      <xdr:row>23</xdr:row>
      <xdr:rowOff>76200</xdr:rowOff>
    </xdr:from>
    <xdr:to>
      <xdr:col>42</xdr:col>
      <xdr:colOff>480533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EF4D905-6330-D24C-A41B-36DE84B2D510}"/>
            </a:ext>
          </a:extLst>
        </xdr:cNvPr>
        <xdr:cNvSpPr>
          <a:spLocks/>
        </xdr:cNvSpPr>
      </xdr:nvSpPr>
      <xdr:spPr>
        <a:xfrm>
          <a:off x="34033720" y="4808546"/>
          <a:ext cx="1013517" cy="46230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5</xdr:col>
      <xdr:colOff>626436</xdr:colOff>
      <xdr:row>23</xdr:row>
      <xdr:rowOff>76200</xdr:rowOff>
    </xdr:from>
    <xdr:to>
      <xdr:col>6</xdr:col>
      <xdr:colOff>258135</xdr:colOff>
      <xdr:row>25</xdr:row>
      <xdr:rowOff>127000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39B1CD4-845A-4C48-8EA2-FB6FF0AC7BB9}"/>
            </a:ext>
          </a:extLst>
        </xdr:cNvPr>
        <xdr:cNvSpPr>
          <a:spLocks/>
        </xdr:cNvSpPr>
      </xdr:nvSpPr>
      <xdr:spPr>
        <a:xfrm>
          <a:off x="3107366" y="4831316"/>
          <a:ext cx="458676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</a:t>
          </a:r>
        </a:p>
      </xdr:txBody>
    </xdr:sp>
    <xdr:clientData/>
  </xdr:twoCellAnchor>
  <xdr:twoCellAnchor>
    <xdr:from>
      <xdr:col>6</xdr:col>
      <xdr:colOff>258135</xdr:colOff>
      <xdr:row>24</xdr:row>
      <xdr:rowOff>101601</xdr:rowOff>
    </xdr:from>
    <xdr:to>
      <xdr:col>11</xdr:col>
      <xdr:colOff>317499</xdr:colOff>
      <xdr:row>24</xdr:row>
      <xdr:rowOff>101601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0961D55-4B23-2A49-B3B0-27B23C781BAA}"/>
            </a:ext>
          </a:extLst>
        </xdr:cNvPr>
        <xdr:cNvCxnSpPr>
          <a:stCxn id="6" idx="6"/>
          <a:endCxn id="2" idx="1"/>
        </xdr:cNvCxnSpPr>
      </xdr:nvCxnSpPr>
      <xdr:spPr>
        <a:xfrm>
          <a:off x="3566042" y="5063461"/>
          <a:ext cx="4194248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23</xdr:row>
      <xdr:rowOff>76200</xdr:rowOff>
    </xdr:from>
    <xdr:to>
      <xdr:col>14</xdr:col>
      <xdr:colOff>241300</xdr:colOff>
      <xdr:row>25</xdr:row>
      <xdr:rowOff>127000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B6F95C6-CACE-504D-8B8B-97A61BA3C797}"/>
            </a:ext>
          </a:extLst>
        </xdr:cNvPr>
        <xdr:cNvSpPr>
          <a:spLocks/>
        </xdr:cNvSpPr>
      </xdr:nvSpPr>
      <xdr:spPr>
        <a:xfrm>
          <a:off x="9706344" y="4831316"/>
          <a:ext cx="458677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HX1</a:t>
          </a:r>
        </a:p>
      </xdr:txBody>
    </xdr:sp>
    <xdr:clientData/>
  </xdr:twoCellAnchor>
  <xdr:twoCellAnchor>
    <xdr:from>
      <xdr:col>37</xdr:col>
      <xdr:colOff>241301</xdr:colOff>
      <xdr:row>24</xdr:row>
      <xdr:rowOff>101601</xdr:rowOff>
    </xdr:from>
    <xdr:to>
      <xdr:col>41</xdr:col>
      <xdr:colOff>290033</xdr:colOff>
      <xdr:row>24</xdr:row>
      <xdr:rowOff>101601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4D57EF5-56FE-B446-8533-F46D7423E437}"/>
            </a:ext>
          </a:extLst>
        </xdr:cNvPr>
        <xdr:cNvCxnSpPr>
          <a:stCxn id="17" idx="6"/>
          <a:endCxn id="5" idx="1"/>
        </xdr:cNvCxnSpPr>
      </xdr:nvCxnSpPr>
      <xdr:spPr>
        <a:xfrm>
          <a:off x="30839441" y="5063461"/>
          <a:ext cx="3356639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256069</xdr:colOff>
      <xdr:row>24</xdr:row>
      <xdr:rowOff>101601</xdr:rowOff>
    </xdr:from>
    <xdr:to>
      <xdr:col>36</xdr:col>
      <xdr:colOff>609601</xdr:colOff>
      <xdr:row>24</xdr:row>
      <xdr:rowOff>101601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9A5D6EB-D21B-3645-A852-A4FB8B36C5D9}"/>
            </a:ext>
          </a:extLst>
        </xdr:cNvPr>
        <xdr:cNvCxnSpPr>
          <a:stCxn id="82" idx="6"/>
          <a:endCxn id="17" idx="2"/>
        </xdr:cNvCxnSpPr>
      </xdr:nvCxnSpPr>
      <xdr:spPr>
        <a:xfrm>
          <a:off x="30027232" y="5063461"/>
          <a:ext cx="353532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256068</xdr:colOff>
      <xdr:row>24</xdr:row>
      <xdr:rowOff>101601</xdr:rowOff>
    </xdr:from>
    <xdr:to>
      <xdr:col>33</xdr:col>
      <xdr:colOff>328131</xdr:colOff>
      <xdr:row>24</xdr:row>
      <xdr:rowOff>101601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EB4F37C-559C-8643-9DDE-008AFC56FCA2}"/>
            </a:ext>
          </a:extLst>
        </xdr:cNvPr>
        <xdr:cNvCxnSpPr>
          <a:stCxn id="16" idx="6"/>
          <a:endCxn id="4" idx="1"/>
        </xdr:cNvCxnSpPr>
      </xdr:nvCxnSpPr>
      <xdr:spPr>
        <a:xfrm>
          <a:off x="25065370" y="5063461"/>
          <a:ext cx="255299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507999</xdr:colOff>
      <xdr:row>24</xdr:row>
      <xdr:rowOff>101601</xdr:rowOff>
    </xdr:from>
    <xdr:to>
      <xdr:col>29</xdr:col>
      <xdr:colOff>624367</xdr:colOff>
      <xdr:row>24</xdr:row>
      <xdr:rowOff>101601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5BE64CD-45D9-A845-A727-3A32888645AC}"/>
            </a:ext>
          </a:extLst>
        </xdr:cNvPr>
        <xdr:cNvCxnSpPr>
          <a:stCxn id="3" idx="3"/>
          <a:endCxn id="16" idx="2"/>
        </xdr:cNvCxnSpPr>
      </xdr:nvCxnSpPr>
      <xdr:spPr>
        <a:xfrm>
          <a:off x="21182418" y="5063461"/>
          <a:ext cx="3424275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241300</xdr:colOff>
      <xdr:row>24</xdr:row>
      <xdr:rowOff>101601</xdr:rowOff>
    </xdr:from>
    <xdr:to>
      <xdr:col>24</xdr:col>
      <xdr:colOff>317500</xdr:colOff>
      <xdr:row>24</xdr:row>
      <xdr:rowOff>101601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D3AFA69-42A6-2449-BECA-8BD2C420C01E}"/>
            </a:ext>
          </a:extLst>
        </xdr:cNvPr>
        <xdr:cNvCxnSpPr>
          <a:cxnSpLocks/>
          <a:stCxn id="8" idx="6"/>
          <a:endCxn id="3" idx="1"/>
        </xdr:cNvCxnSpPr>
      </xdr:nvCxnSpPr>
      <xdr:spPr>
        <a:xfrm>
          <a:off x="10165021" y="5063461"/>
          <a:ext cx="8345967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507999</xdr:colOff>
      <xdr:row>24</xdr:row>
      <xdr:rowOff>101601</xdr:rowOff>
    </xdr:from>
    <xdr:to>
      <xdr:col>13</xdr:col>
      <xdr:colOff>609600</xdr:colOff>
      <xdr:row>24</xdr:row>
      <xdr:rowOff>101601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39CFA2A-F911-0344-8E79-BFD27D7D176F}"/>
            </a:ext>
          </a:extLst>
        </xdr:cNvPr>
        <xdr:cNvCxnSpPr>
          <a:stCxn id="2" idx="3"/>
          <a:endCxn id="8" idx="2"/>
        </xdr:cNvCxnSpPr>
      </xdr:nvCxnSpPr>
      <xdr:spPr>
        <a:xfrm>
          <a:off x="8777766" y="5063461"/>
          <a:ext cx="928578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18312</xdr:colOff>
      <xdr:row>23</xdr:row>
      <xdr:rowOff>69850</xdr:rowOff>
    </xdr:from>
    <xdr:to>
      <xdr:col>25</xdr:col>
      <xdr:colOff>5611</xdr:colOff>
      <xdr:row>23</xdr:row>
      <xdr:rowOff>82550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D3BEBC17-3CF6-014A-A5C7-EA6BF6A2997E}"/>
            </a:ext>
          </a:extLst>
        </xdr:cNvPr>
        <xdr:cNvCxnSpPr>
          <a:cxnSpLocks/>
          <a:stCxn id="3" idx="0"/>
          <a:endCxn id="8" idx="0"/>
        </xdr:cNvCxnSpPr>
      </xdr:nvCxnSpPr>
      <xdr:spPr>
        <a:xfrm rot="16200000" flipV="1">
          <a:off x="14477705" y="289294"/>
          <a:ext cx="12700" cy="9084043"/>
        </a:xfrm>
        <a:prstGeom prst="bentConnector3">
          <a:avLst>
            <a:gd name="adj1" fmla="val 1800000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624367</xdr:colOff>
      <xdr:row>23</xdr:row>
      <xdr:rowOff>76200</xdr:rowOff>
    </xdr:from>
    <xdr:to>
      <xdr:col>30</xdr:col>
      <xdr:colOff>256068</xdr:colOff>
      <xdr:row>25</xdr:row>
      <xdr:rowOff>127000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C36179A-E38D-8E4F-A21F-9E988CCD3809}"/>
            </a:ext>
          </a:extLst>
        </xdr:cNvPr>
        <xdr:cNvSpPr>
          <a:spLocks/>
        </xdr:cNvSpPr>
      </xdr:nvSpPr>
      <xdr:spPr>
        <a:xfrm>
          <a:off x="24606693" y="4831316"/>
          <a:ext cx="458677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HX3</a:t>
          </a:r>
        </a:p>
      </xdr:txBody>
    </xdr:sp>
    <xdr:clientData/>
  </xdr:twoCellAnchor>
  <xdr:twoCellAnchor>
    <xdr:from>
      <xdr:col>36</xdr:col>
      <xdr:colOff>609601</xdr:colOff>
      <xdr:row>23</xdr:row>
      <xdr:rowOff>76200</xdr:rowOff>
    </xdr:from>
    <xdr:to>
      <xdr:col>37</xdr:col>
      <xdr:colOff>241301</xdr:colOff>
      <xdr:row>25</xdr:row>
      <xdr:rowOff>127000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837BE47-9D82-504E-AE1B-6E6C6F90B73A}"/>
            </a:ext>
          </a:extLst>
        </xdr:cNvPr>
        <xdr:cNvSpPr>
          <a:spLocks/>
        </xdr:cNvSpPr>
      </xdr:nvSpPr>
      <xdr:spPr>
        <a:xfrm>
          <a:off x="30380764" y="4831316"/>
          <a:ext cx="458677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HX5</a:t>
          </a:r>
        </a:p>
      </xdr:txBody>
    </xdr:sp>
    <xdr:clientData/>
  </xdr:twoCellAnchor>
  <xdr:twoCellAnchor>
    <xdr:from>
      <xdr:col>30</xdr:col>
      <xdr:colOff>26730</xdr:colOff>
      <xdr:row>25</xdr:row>
      <xdr:rowOff>127000</xdr:rowOff>
    </xdr:from>
    <xdr:to>
      <xdr:col>32</xdr:col>
      <xdr:colOff>607532</xdr:colOff>
      <xdr:row>35</xdr:row>
      <xdr:rowOff>38100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B51FCAAD-A7F1-8B43-8117-7299E471778D}"/>
            </a:ext>
          </a:extLst>
        </xdr:cNvPr>
        <xdr:cNvCxnSpPr>
          <a:cxnSpLocks/>
          <a:stCxn id="25" idx="2"/>
          <a:endCxn id="16" idx="4"/>
        </xdr:cNvCxnSpPr>
      </xdr:nvCxnSpPr>
      <xdr:spPr>
        <a:xfrm rot="10800000">
          <a:off x="24836032" y="5295605"/>
          <a:ext cx="2234756" cy="1978542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18</xdr:row>
      <xdr:rowOff>192272</xdr:rowOff>
    </xdr:from>
    <xdr:to>
      <xdr:col>24</xdr:col>
      <xdr:colOff>596900</xdr:colOff>
      <xdr:row>24</xdr:row>
      <xdr:rowOff>101600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29BCD18-797B-B74D-AF60-6F74A2AFD527}"/>
            </a:ext>
          </a:extLst>
        </xdr:cNvPr>
        <xdr:cNvCxnSpPr>
          <a:stCxn id="29" idx="2"/>
          <a:endCxn id="8" idx="2"/>
        </xdr:cNvCxnSpPr>
      </xdr:nvCxnSpPr>
      <xdr:spPr>
        <a:xfrm rot="10800000" flipV="1">
          <a:off x="9706344" y="3913667"/>
          <a:ext cx="9084044" cy="1149793"/>
        </a:xfrm>
        <a:prstGeom prst="bentConnector3">
          <a:avLst>
            <a:gd name="adj1" fmla="val 102517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5611</xdr:colOff>
      <xdr:row>25</xdr:row>
      <xdr:rowOff>120650</xdr:rowOff>
    </xdr:from>
    <xdr:to>
      <xdr:col>41</xdr:col>
      <xdr:colOff>805121</xdr:colOff>
      <xdr:row>25</xdr:row>
      <xdr:rowOff>133350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45AB7C71-07C3-B94C-9D52-1878AEAC8C32}"/>
            </a:ext>
          </a:extLst>
        </xdr:cNvPr>
        <xdr:cNvCxnSpPr>
          <a:stCxn id="5" idx="2"/>
          <a:endCxn id="3" idx="2"/>
        </xdr:cNvCxnSpPr>
      </xdr:nvCxnSpPr>
      <xdr:spPr>
        <a:xfrm rot="5400000">
          <a:off x="27689249" y="-1719964"/>
          <a:ext cx="12700" cy="14031138"/>
        </a:xfrm>
        <a:prstGeom prst="bentConnector3">
          <a:avLst>
            <a:gd name="adj1" fmla="val 22846512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44303</xdr:colOff>
      <xdr:row>24</xdr:row>
      <xdr:rowOff>101601</xdr:rowOff>
    </xdr:from>
    <xdr:to>
      <xdr:col>5</xdr:col>
      <xdr:colOff>626436</xdr:colOff>
      <xdr:row>24</xdr:row>
      <xdr:rowOff>101601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53583F9-7263-6B4C-9A29-80AE84BF13FE}"/>
            </a:ext>
          </a:extLst>
        </xdr:cNvPr>
        <xdr:cNvCxnSpPr>
          <a:endCxn id="6" idx="2"/>
        </xdr:cNvCxnSpPr>
      </xdr:nvCxnSpPr>
      <xdr:spPr>
        <a:xfrm>
          <a:off x="44303" y="5063461"/>
          <a:ext cx="3063063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480533</xdr:colOff>
      <xdr:row>24</xdr:row>
      <xdr:rowOff>101600</xdr:rowOff>
    </xdr:from>
    <xdr:to>
      <xdr:col>46</xdr:col>
      <xdr:colOff>73839</xdr:colOff>
      <xdr:row>24</xdr:row>
      <xdr:rowOff>101601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8F7CA71-31FD-E84D-AB6F-5F72BF066461}"/>
            </a:ext>
          </a:extLst>
        </xdr:cNvPr>
        <xdr:cNvCxnSpPr>
          <a:stCxn id="5" idx="3"/>
        </xdr:cNvCxnSpPr>
      </xdr:nvCxnSpPr>
      <xdr:spPr>
        <a:xfrm flipV="1">
          <a:off x="35047237" y="5039701"/>
          <a:ext cx="2885373" cy="1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816421</xdr:colOff>
      <xdr:row>14</xdr:row>
      <xdr:rowOff>16933</xdr:rowOff>
    </xdr:from>
    <xdr:to>
      <xdr:col>37</xdr:col>
      <xdr:colOff>10585</xdr:colOff>
      <xdr:row>23</xdr:row>
      <xdr:rowOff>76200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E1EB9CB-3192-AF41-988C-3DE2385AF6FA}"/>
            </a:ext>
          </a:extLst>
        </xdr:cNvPr>
        <xdr:cNvCxnSpPr>
          <a:endCxn id="17" idx="0"/>
        </xdr:cNvCxnSpPr>
      </xdr:nvCxnSpPr>
      <xdr:spPr>
        <a:xfrm>
          <a:off x="30686821" y="2861733"/>
          <a:ext cx="23897" cy="1888067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607532</xdr:colOff>
      <xdr:row>34</xdr:row>
      <xdr:rowOff>12700</xdr:rowOff>
    </xdr:from>
    <xdr:to>
      <xdr:col>33</xdr:col>
      <xdr:colOff>239231</xdr:colOff>
      <xdr:row>36</xdr:row>
      <xdr:rowOff>63500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474DE2F-AAE5-D24F-BCAF-92F15FEA106E}"/>
            </a:ext>
          </a:extLst>
        </xdr:cNvPr>
        <xdr:cNvSpPr>
          <a:spLocks/>
        </xdr:cNvSpPr>
      </xdr:nvSpPr>
      <xdr:spPr>
        <a:xfrm>
          <a:off x="27070788" y="7042002"/>
          <a:ext cx="458676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HX4</a:t>
          </a:r>
        </a:p>
      </xdr:txBody>
    </xdr:sp>
    <xdr:clientData/>
  </xdr:twoCellAnchor>
  <xdr:twoCellAnchor>
    <xdr:from>
      <xdr:col>33</xdr:col>
      <xdr:colOff>239231</xdr:colOff>
      <xdr:row>25</xdr:row>
      <xdr:rowOff>127001</xdr:rowOff>
    </xdr:from>
    <xdr:to>
      <xdr:col>37</xdr:col>
      <xdr:colOff>11963</xdr:colOff>
      <xdr:row>35</xdr:row>
      <xdr:rowOff>38101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01A11A35-4884-A147-B625-9C382351CE7F}"/>
            </a:ext>
          </a:extLst>
        </xdr:cNvPr>
        <xdr:cNvCxnSpPr>
          <a:cxnSpLocks/>
          <a:stCxn id="17" idx="4"/>
          <a:endCxn id="25" idx="6"/>
        </xdr:cNvCxnSpPr>
      </xdr:nvCxnSpPr>
      <xdr:spPr>
        <a:xfrm rot="5400000">
          <a:off x="28080513" y="4744557"/>
          <a:ext cx="1978542" cy="3080639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11962</xdr:colOff>
      <xdr:row>25</xdr:row>
      <xdr:rowOff>127000</xdr:rowOff>
    </xdr:from>
    <xdr:to>
      <xdr:col>33</xdr:col>
      <xdr:colOff>9893</xdr:colOff>
      <xdr:row>36</xdr:row>
      <xdr:rowOff>63500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EBE17647-20F0-E445-872E-C7516B8A8CC9}"/>
            </a:ext>
          </a:extLst>
        </xdr:cNvPr>
        <xdr:cNvCxnSpPr>
          <a:cxnSpLocks/>
          <a:stCxn id="8" idx="4"/>
          <a:endCxn id="25" idx="4"/>
        </xdr:cNvCxnSpPr>
      </xdr:nvCxnSpPr>
      <xdr:spPr>
        <a:xfrm rot="16200000" flipH="1">
          <a:off x="18339538" y="-1454297"/>
          <a:ext cx="2210686" cy="15710490"/>
        </a:xfrm>
        <a:prstGeom prst="bentConnector3">
          <a:avLst>
            <a:gd name="adj1" fmla="val 110341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0</xdr:row>
      <xdr:rowOff>0</xdr:rowOff>
    </xdr:from>
    <xdr:to>
      <xdr:col>25</xdr:col>
      <xdr:colOff>3987</xdr:colOff>
      <xdr:row>14</xdr:row>
      <xdr:rowOff>187546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BB957FB-F0E6-9F40-9E1F-A12C0AABF26C}"/>
            </a:ext>
          </a:extLst>
        </xdr:cNvPr>
        <xdr:cNvCxnSpPr>
          <a:stCxn id="99" idx="0"/>
        </xdr:cNvCxnSpPr>
      </xdr:nvCxnSpPr>
      <xdr:spPr>
        <a:xfrm flipH="1" flipV="1">
          <a:off x="19020465" y="0"/>
          <a:ext cx="3987" cy="3081965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596900</xdr:colOff>
      <xdr:row>17</xdr:row>
      <xdr:rowOff>165100</xdr:rowOff>
    </xdr:from>
    <xdr:to>
      <xdr:col>25</xdr:col>
      <xdr:colOff>228600</xdr:colOff>
      <xdr:row>20</xdr:row>
      <xdr:rowOff>12700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DEDE6CD-F1FF-A146-A118-FD13BDC65ACB}"/>
            </a:ext>
          </a:extLst>
        </xdr:cNvPr>
        <xdr:cNvSpPr>
          <a:spLocks/>
        </xdr:cNvSpPr>
      </xdr:nvSpPr>
      <xdr:spPr>
        <a:xfrm>
          <a:off x="16281400" y="3619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HX2</a:t>
          </a:r>
        </a:p>
      </xdr:txBody>
    </xdr:sp>
    <xdr:clientData/>
  </xdr:twoCellAnchor>
  <xdr:twoCellAnchor>
    <xdr:from>
      <xdr:col>25</xdr:col>
      <xdr:colOff>228600</xdr:colOff>
      <xdr:row>18</xdr:row>
      <xdr:rowOff>192273</xdr:rowOff>
    </xdr:from>
    <xdr:to>
      <xdr:col>30</xdr:col>
      <xdr:colOff>26730</xdr:colOff>
      <xdr:row>23</xdr:row>
      <xdr:rowOff>76200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644F4A21-0796-0D41-8FA2-1AFCEAA89A20}"/>
            </a:ext>
          </a:extLst>
        </xdr:cNvPr>
        <xdr:cNvCxnSpPr>
          <a:stCxn id="16" idx="0"/>
          <a:endCxn id="29" idx="6"/>
        </xdr:cNvCxnSpPr>
      </xdr:nvCxnSpPr>
      <xdr:spPr>
        <a:xfrm rot="16200000" flipV="1">
          <a:off x="22410702" y="2405985"/>
          <a:ext cx="917648" cy="3933013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826239</xdr:colOff>
      <xdr:row>20</xdr:row>
      <xdr:rowOff>12700</xdr:rowOff>
    </xdr:from>
    <xdr:to>
      <xdr:col>33</xdr:col>
      <xdr:colOff>9893</xdr:colOff>
      <xdr:row>34</xdr:row>
      <xdr:rowOff>12700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F134DAE-7451-5C4A-8A64-BD3EAABD9D25}"/>
            </a:ext>
          </a:extLst>
        </xdr:cNvPr>
        <xdr:cNvCxnSpPr>
          <a:cxnSpLocks/>
          <a:stCxn id="25" idx="0"/>
          <a:endCxn id="29" idx="4"/>
        </xdr:cNvCxnSpPr>
      </xdr:nvCxnSpPr>
      <xdr:spPr>
        <a:xfrm rot="16200000" flipV="1">
          <a:off x="22539695" y="2281570"/>
          <a:ext cx="2894418" cy="6626445"/>
        </a:xfrm>
        <a:prstGeom prst="bentConnector3">
          <a:avLst>
            <a:gd name="adj1" fmla="val 93368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626437</xdr:colOff>
      <xdr:row>24</xdr:row>
      <xdr:rowOff>101601</xdr:rowOff>
    </xdr:from>
    <xdr:to>
      <xdr:col>38</xdr:col>
      <xdr:colOff>428262</xdr:colOff>
      <xdr:row>58</xdr:row>
      <xdr:rowOff>138518</xdr:rowOff>
    </xdr:to>
    <xdr:cxnSp macro="">
      <xdr:nvCxnSpPr>
        <xdr:cNvPr id="32" name="Elbow Connector 31">
          <a:extLst>
            <a:ext uri="{FF2B5EF4-FFF2-40B4-BE49-F238E27FC236}">
              <a16:creationId xmlns:a16="http://schemas.microsoft.com/office/drawing/2014/main" id="{B954FBC7-274F-E44D-A8F9-6DEED8914FB1}"/>
            </a:ext>
          </a:extLst>
        </xdr:cNvPr>
        <xdr:cNvCxnSpPr>
          <a:stCxn id="174" idx="0"/>
          <a:endCxn id="6" idx="2"/>
        </xdr:cNvCxnSpPr>
      </xdr:nvCxnSpPr>
      <xdr:spPr>
        <a:xfrm rot="10800000">
          <a:off x="4775104" y="4978401"/>
          <a:ext cx="27183025" cy="6945717"/>
        </a:xfrm>
        <a:prstGeom prst="bentConnector3">
          <a:avLst>
            <a:gd name="adj1" fmla="val 100841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14767</xdr:colOff>
      <xdr:row>0</xdr:row>
      <xdr:rowOff>0</xdr:rowOff>
    </xdr:from>
    <xdr:to>
      <xdr:col>24</xdr:col>
      <xdr:colOff>596900</xdr:colOff>
      <xdr:row>18</xdr:row>
      <xdr:rowOff>192273</xdr:rowOff>
    </xdr:to>
    <xdr:cxnSp macro="">
      <xdr:nvCxnSpPr>
        <xdr:cNvPr id="33" name="Elbow Connector 32">
          <a:extLst>
            <a:ext uri="{FF2B5EF4-FFF2-40B4-BE49-F238E27FC236}">
              <a16:creationId xmlns:a16="http://schemas.microsoft.com/office/drawing/2014/main" id="{79DA9FFE-C844-1745-8E76-45B5981E8D4C}"/>
            </a:ext>
          </a:extLst>
        </xdr:cNvPr>
        <xdr:cNvCxnSpPr>
          <a:stCxn id="29" idx="2"/>
        </xdr:cNvCxnSpPr>
      </xdr:nvCxnSpPr>
      <xdr:spPr>
        <a:xfrm rot="10800000">
          <a:off x="16554302" y="0"/>
          <a:ext cx="3890040" cy="3913668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626436</xdr:colOff>
      <xdr:row>24</xdr:row>
      <xdr:rowOff>101601</xdr:rowOff>
    </xdr:from>
    <xdr:to>
      <xdr:col>24</xdr:col>
      <xdr:colOff>826238</xdr:colOff>
      <xdr:row>25</xdr:row>
      <xdr:rowOff>127000</xdr:rowOff>
    </xdr:to>
    <xdr:cxnSp macro="">
      <xdr:nvCxnSpPr>
        <xdr:cNvPr id="57" name="Elbow Connector 56">
          <a:extLst>
            <a:ext uri="{FF2B5EF4-FFF2-40B4-BE49-F238E27FC236}">
              <a16:creationId xmlns:a16="http://schemas.microsoft.com/office/drawing/2014/main" id="{2FB6FF25-671E-2642-9C75-CBEC8C342C4D}"/>
            </a:ext>
          </a:extLst>
        </xdr:cNvPr>
        <xdr:cNvCxnSpPr>
          <a:stCxn id="6" idx="2"/>
          <a:endCxn id="3" idx="2"/>
        </xdr:cNvCxnSpPr>
      </xdr:nvCxnSpPr>
      <xdr:spPr>
        <a:xfrm rot="10800000" flipH="1" flipV="1">
          <a:off x="3107366" y="5063461"/>
          <a:ext cx="15912360" cy="232144"/>
        </a:xfrm>
        <a:prstGeom prst="bentConnector4">
          <a:avLst>
            <a:gd name="adj1" fmla="val -2710"/>
            <a:gd name="adj2" fmla="val 3391859"/>
          </a:avLst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624368</xdr:colOff>
      <xdr:row>23</xdr:row>
      <xdr:rowOff>76200</xdr:rowOff>
    </xdr:from>
    <xdr:to>
      <xdr:col>36</xdr:col>
      <xdr:colOff>256069</xdr:colOff>
      <xdr:row>25</xdr:row>
      <xdr:rowOff>127000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FFE0065F-8A1E-A5FD-7689-B02F02F4C4BB}"/>
            </a:ext>
          </a:extLst>
        </xdr:cNvPr>
        <xdr:cNvSpPr>
          <a:spLocks/>
        </xdr:cNvSpPr>
      </xdr:nvSpPr>
      <xdr:spPr>
        <a:xfrm>
          <a:off x="29568554" y="4831316"/>
          <a:ext cx="458678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</a:t>
          </a:r>
          <a:endParaRPr lang="en-GB" sz="1100"/>
        </a:p>
      </xdr:txBody>
    </xdr:sp>
    <xdr:clientData/>
  </xdr:twoCellAnchor>
  <xdr:twoCellAnchor>
    <xdr:from>
      <xdr:col>37</xdr:col>
      <xdr:colOff>241301</xdr:colOff>
      <xdr:row>14</xdr:row>
      <xdr:rowOff>0</xdr:rowOff>
    </xdr:from>
    <xdr:to>
      <xdr:col>38</xdr:col>
      <xdr:colOff>16933</xdr:colOff>
      <xdr:row>24</xdr:row>
      <xdr:rowOff>101600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E536C64D-EA33-9746-898A-143EB681083E}"/>
            </a:ext>
          </a:extLst>
        </xdr:cNvPr>
        <xdr:cNvCxnSpPr>
          <a:cxnSpLocks/>
          <a:stCxn id="17" idx="6"/>
        </xdr:cNvCxnSpPr>
      </xdr:nvCxnSpPr>
      <xdr:spPr>
        <a:xfrm flipV="1">
          <a:off x="30941434" y="2844800"/>
          <a:ext cx="605366" cy="21336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826238</xdr:colOff>
      <xdr:row>25</xdr:row>
      <xdr:rowOff>127000</xdr:rowOff>
    </xdr:from>
    <xdr:to>
      <xdr:col>25</xdr:col>
      <xdr:colOff>3987</xdr:colOff>
      <xdr:row>63</xdr:row>
      <xdr:rowOff>187546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AB8FF09F-228F-7C4E-8418-03FDD699BC9B}"/>
            </a:ext>
          </a:extLst>
        </xdr:cNvPr>
        <xdr:cNvCxnSpPr>
          <a:stCxn id="98" idx="0"/>
          <a:endCxn id="3" idx="2"/>
        </xdr:cNvCxnSpPr>
      </xdr:nvCxnSpPr>
      <xdr:spPr>
        <a:xfrm flipH="1" flipV="1">
          <a:off x="19019726" y="5295605"/>
          <a:ext cx="4726" cy="7916825"/>
        </a:xfrm>
        <a:prstGeom prst="straightConnector1">
          <a:avLst/>
        </a:prstGeom>
        <a:ln w="25400">
          <a:solidFill>
            <a:schemeClr val="accent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601625</xdr:colOff>
      <xdr:row>63</xdr:row>
      <xdr:rowOff>187546</xdr:rowOff>
    </xdr:from>
    <xdr:to>
      <xdr:col>25</xdr:col>
      <xdr:colOff>233325</xdr:colOff>
      <xdr:row>66</xdr:row>
      <xdr:rowOff>31603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DA7E1FD3-834C-DE4F-8283-8FCA0C381EE0}"/>
            </a:ext>
          </a:extLst>
        </xdr:cNvPr>
        <xdr:cNvSpPr>
          <a:spLocks/>
        </xdr:cNvSpPr>
      </xdr:nvSpPr>
      <xdr:spPr>
        <a:xfrm>
          <a:off x="18795113" y="13212430"/>
          <a:ext cx="458677" cy="464289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HXA</a:t>
          </a:r>
        </a:p>
      </xdr:txBody>
    </xdr:sp>
    <xdr:clientData/>
  </xdr:twoCellAnchor>
  <xdr:twoCellAnchor>
    <xdr:from>
      <xdr:col>24</xdr:col>
      <xdr:colOff>601625</xdr:colOff>
      <xdr:row>14</xdr:row>
      <xdr:rowOff>187546</xdr:rowOff>
    </xdr:from>
    <xdr:to>
      <xdr:col>25</xdr:col>
      <xdr:colOff>233325</xdr:colOff>
      <xdr:row>17</xdr:row>
      <xdr:rowOff>31603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AF2C954C-FC59-54B4-086F-FDD44C9819F6}"/>
            </a:ext>
          </a:extLst>
        </xdr:cNvPr>
        <xdr:cNvSpPr>
          <a:spLocks/>
        </xdr:cNvSpPr>
      </xdr:nvSpPr>
      <xdr:spPr>
        <a:xfrm>
          <a:off x="18795113" y="3081965"/>
          <a:ext cx="458677" cy="464289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HXA</a:t>
          </a:r>
        </a:p>
      </xdr:txBody>
    </xdr:sp>
    <xdr:clientData/>
  </xdr:twoCellAnchor>
  <xdr:twoCellAnchor>
    <xdr:from>
      <xdr:col>24</xdr:col>
      <xdr:colOff>826239</xdr:colOff>
      <xdr:row>17</xdr:row>
      <xdr:rowOff>31603</xdr:rowOff>
    </xdr:from>
    <xdr:to>
      <xdr:col>25</xdr:col>
      <xdr:colOff>3987</xdr:colOff>
      <xdr:row>17</xdr:row>
      <xdr:rowOff>165100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83057AEB-86B4-2846-9A85-E77FA04AF653}"/>
            </a:ext>
          </a:extLst>
        </xdr:cNvPr>
        <xdr:cNvCxnSpPr>
          <a:stCxn id="29" idx="0"/>
          <a:endCxn id="99" idx="4"/>
        </xdr:cNvCxnSpPr>
      </xdr:nvCxnSpPr>
      <xdr:spPr>
        <a:xfrm flipV="1">
          <a:off x="19019727" y="3546254"/>
          <a:ext cx="4725" cy="133497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3987</xdr:colOff>
      <xdr:row>66</xdr:row>
      <xdr:rowOff>31603</xdr:rowOff>
    </xdr:from>
    <xdr:to>
      <xdr:col>25</xdr:col>
      <xdr:colOff>3987</xdr:colOff>
      <xdr:row>75</xdr:row>
      <xdr:rowOff>103372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6EFE17A-27F1-2741-8793-93241EC21EB3}"/>
            </a:ext>
          </a:extLst>
        </xdr:cNvPr>
        <xdr:cNvCxnSpPr>
          <a:endCxn id="98" idx="4"/>
        </xdr:cNvCxnSpPr>
      </xdr:nvCxnSpPr>
      <xdr:spPr>
        <a:xfrm flipV="1">
          <a:off x="19024452" y="13676719"/>
          <a:ext cx="0" cy="1932467"/>
        </a:xfrm>
        <a:prstGeom prst="straightConnector1">
          <a:avLst/>
        </a:prstGeom>
        <a:ln w="25400">
          <a:solidFill>
            <a:schemeClr val="accent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518631</xdr:colOff>
      <xdr:row>24</xdr:row>
      <xdr:rowOff>101601</xdr:rowOff>
    </xdr:from>
    <xdr:to>
      <xdr:col>35</xdr:col>
      <xdr:colOff>624368</xdr:colOff>
      <xdr:row>24</xdr:row>
      <xdr:rowOff>101601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56EC459D-F099-860B-9FA8-52EAFAD54809}"/>
            </a:ext>
          </a:extLst>
        </xdr:cNvPr>
        <xdr:cNvCxnSpPr>
          <a:stCxn id="4" idx="3"/>
          <a:endCxn id="82" idx="2"/>
        </xdr:cNvCxnSpPr>
      </xdr:nvCxnSpPr>
      <xdr:spPr>
        <a:xfrm>
          <a:off x="28635840" y="5063461"/>
          <a:ext cx="93271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428261</xdr:colOff>
      <xdr:row>57</xdr:row>
      <xdr:rowOff>59068</xdr:rowOff>
    </xdr:from>
    <xdr:to>
      <xdr:col>39</xdr:col>
      <xdr:colOff>590702</xdr:colOff>
      <xdr:row>60</xdr:row>
      <xdr:rowOff>14766</xdr:rowOff>
    </xdr:to>
    <xdr:sp macro="" textlink="">
      <xdr:nvSpPr>
        <xdr:cNvPr id="174" name="Trapezium 173">
          <a:extLst>
            <a:ext uri="{FF2B5EF4-FFF2-40B4-BE49-F238E27FC236}">
              <a16:creationId xmlns:a16="http://schemas.microsoft.com/office/drawing/2014/main" id="{0272076F-4EC9-D8A5-AC7A-BED36584E964}"/>
            </a:ext>
          </a:extLst>
        </xdr:cNvPr>
        <xdr:cNvSpPr/>
      </xdr:nvSpPr>
      <xdr:spPr>
        <a:xfrm rot="16200000">
          <a:off x="32060121" y="11636743"/>
          <a:ext cx="575930" cy="989418"/>
        </a:xfrm>
        <a:prstGeom prst="trapezoid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/>
        <a:lstStyle/>
        <a:p>
          <a:pPr algn="ctr"/>
          <a:r>
            <a:rPr lang="en-GB" sz="1100"/>
            <a:t>H2 compression</a:t>
          </a:r>
        </a:p>
      </xdr:txBody>
    </xdr:sp>
    <xdr:clientData/>
  </xdr:twoCellAnchor>
  <xdr:twoCellAnchor>
    <xdr:from>
      <xdr:col>39</xdr:col>
      <xdr:colOff>590702</xdr:colOff>
      <xdr:row>24</xdr:row>
      <xdr:rowOff>101601</xdr:rowOff>
    </xdr:from>
    <xdr:to>
      <xdr:col>42</xdr:col>
      <xdr:colOff>480533</xdr:colOff>
      <xdr:row>58</xdr:row>
      <xdr:rowOff>140289</xdr:rowOff>
    </xdr:to>
    <xdr:cxnSp macro="">
      <xdr:nvCxnSpPr>
        <xdr:cNvPr id="177" name="Elbow Connector 176">
          <a:extLst>
            <a:ext uri="{FF2B5EF4-FFF2-40B4-BE49-F238E27FC236}">
              <a16:creationId xmlns:a16="http://schemas.microsoft.com/office/drawing/2014/main" id="{8050F0D8-C982-C048-8AD6-B51E1E15ABF1}"/>
            </a:ext>
          </a:extLst>
        </xdr:cNvPr>
        <xdr:cNvCxnSpPr>
          <a:stCxn id="5" idx="3"/>
          <a:endCxn id="174" idx="2"/>
        </xdr:cNvCxnSpPr>
      </xdr:nvCxnSpPr>
      <xdr:spPr>
        <a:xfrm flipH="1">
          <a:off x="32842795" y="5063461"/>
          <a:ext cx="2370761" cy="7067991"/>
        </a:xfrm>
        <a:prstGeom prst="bentConnector3">
          <a:avLst>
            <a:gd name="adj1" fmla="val -9642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23</xdr:row>
      <xdr:rowOff>76200</xdr:rowOff>
    </xdr:from>
    <xdr:to>
      <xdr:col>14</xdr:col>
      <xdr:colOff>495299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6320A41-C792-28A7-6887-29F38FBF2119}"/>
            </a:ext>
          </a:extLst>
        </xdr:cNvPr>
        <xdr:cNvSpPr>
          <a:spLocks/>
        </xdr:cNvSpPr>
      </xdr:nvSpPr>
      <xdr:spPr>
        <a:xfrm>
          <a:off x="11036300" y="4749800"/>
          <a:ext cx="1015999" cy="457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19</xdr:col>
      <xdr:colOff>317500</xdr:colOff>
      <xdr:row>23</xdr:row>
      <xdr:rowOff>76200</xdr:rowOff>
    </xdr:from>
    <xdr:to>
      <xdr:col>20</xdr:col>
      <xdr:colOff>507999</xdr:colOff>
      <xdr:row>25</xdr:row>
      <xdr:rowOff>127000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3697E19-8FCB-D881-37EA-9C8ACB4CA660}"/>
            </a:ext>
          </a:extLst>
        </xdr:cNvPr>
        <xdr:cNvSpPr>
          <a:spLocks/>
        </xdr:cNvSpPr>
      </xdr:nvSpPr>
      <xdr:spPr>
        <a:xfrm>
          <a:off x="160020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SMR</a:t>
          </a:r>
        </a:p>
      </xdr:txBody>
    </xdr:sp>
    <xdr:clientData/>
  </xdr:twoCellAnchor>
  <xdr:twoCellAnchor>
    <xdr:from>
      <xdr:col>25</xdr:col>
      <xdr:colOff>342900</xdr:colOff>
      <xdr:row>23</xdr:row>
      <xdr:rowOff>76200</xdr:rowOff>
    </xdr:from>
    <xdr:to>
      <xdr:col>26</xdr:col>
      <xdr:colOff>533399</xdr:colOff>
      <xdr:row>25</xdr:row>
      <xdr:rowOff>127000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BDB5EED-6A2E-8B4F-7B92-3793B5496F51}"/>
            </a:ext>
          </a:extLst>
        </xdr:cNvPr>
        <xdr:cNvSpPr>
          <a:spLocks/>
        </xdr:cNvSpPr>
      </xdr:nvSpPr>
      <xdr:spPr>
        <a:xfrm>
          <a:off x="209804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31</xdr:col>
      <xdr:colOff>304800</xdr:colOff>
      <xdr:row>23</xdr:row>
      <xdr:rowOff>76200</xdr:rowOff>
    </xdr:from>
    <xdr:to>
      <xdr:col>32</xdr:col>
      <xdr:colOff>495299</xdr:colOff>
      <xdr:row>25</xdr:row>
      <xdr:rowOff>127000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A201022-AA46-6BE1-F686-BE8007837489}"/>
            </a:ext>
          </a:extLst>
        </xdr:cNvPr>
        <xdr:cNvSpPr>
          <a:spLocks/>
        </xdr:cNvSpPr>
      </xdr:nvSpPr>
      <xdr:spPr>
        <a:xfrm>
          <a:off x="258953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9</xdr:col>
      <xdr:colOff>609600</xdr:colOff>
      <xdr:row>23</xdr:row>
      <xdr:rowOff>76200</xdr:rowOff>
    </xdr:from>
    <xdr:to>
      <xdr:col>10</xdr:col>
      <xdr:colOff>241300</xdr:colOff>
      <xdr:row>25</xdr:row>
      <xdr:rowOff>127000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D3EDBF7-B0A9-A64B-966F-2C35A7D2BA0B}"/>
            </a:ext>
          </a:extLst>
        </xdr:cNvPr>
        <xdr:cNvSpPr>
          <a:spLocks/>
        </xdr:cNvSpPr>
      </xdr:nvSpPr>
      <xdr:spPr>
        <a:xfrm>
          <a:off x="80391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10</xdr:col>
      <xdr:colOff>241300</xdr:colOff>
      <xdr:row>24</xdr:row>
      <xdr:rowOff>101600</xdr:rowOff>
    </xdr:from>
    <xdr:to>
      <xdr:col>13</xdr:col>
      <xdr:colOff>304800</xdr:colOff>
      <xdr:row>24</xdr:row>
      <xdr:rowOff>101600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9BA3156-FF06-72A9-02E3-465813C9F571}"/>
            </a:ext>
          </a:extLst>
        </xdr:cNvPr>
        <xdr:cNvCxnSpPr>
          <a:stCxn id="12" idx="6"/>
          <a:endCxn id="5" idx="1"/>
        </xdr:cNvCxnSpPr>
      </xdr:nvCxnSpPr>
      <xdr:spPr>
        <a:xfrm>
          <a:off x="8496300" y="4978400"/>
          <a:ext cx="25400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596900</xdr:colOff>
      <xdr:row>23</xdr:row>
      <xdr:rowOff>76200</xdr:rowOff>
    </xdr:from>
    <xdr:to>
      <xdr:col>16</xdr:col>
      <xdr:colOff>228600</xdr:colOff>
      <xdr:row>25</xdr:row>
      <xdr:rowOff>127000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FAA3053-1014-A24D-8275-52F7ACCCD491}"/>
            </a:ext>
          </a:extLst>
        </xdr:cNvPr>
        <xdr:cNvSpPr>
          <a:spLocks/>
        </xdr:cNvSpPr>
      </xdr:nvSpPr>
      <xdr:spPr>
        <a:xfrm>
          <a:off x="129794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28</xdr:col>
      <xdr:colOff>241300</xdr:colOff>
      <xdr:row>24</xdr:row>
      <xdr:rowOff>101600</xdr:rowOff>
    </xdr:from>
    <xdr:to>
      <xdr:col>31</xdr:col>
      <xdr:colOff>304800</xdr:colOff>
      <xdr:row>24</xdr:row>
      <xdr:rowOff>101600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63D0C57-2F88-F34F-A459-85D2057E9F1B}"/>
            </a:ext>
          </a:extLst>
        </xdr:cNvPr>
        <xdr:cNvCxnSpPr>
          <a:stCxn id="36" idx="6"/>
          <a:endCxn id="9" idx="1"/>
        </xdr:cNvCxnSpPr>
      </xdr:nvCxnSpPr>
      <xdr:spPr>
        <a:xfrm>
          <a:off x="23355300" y="4978400"/>
          <a:ext cx="25400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533399</xdr:colOff>
      <xdr:row>24</xdr:row>
      <xdr:rowOff>101600</xdr:rowOff>
    </xdr:from>
    <xdr:to>
      <xdr:col>27</xdr:col>
      <xdr:colOff>609600</xdr:colOff>
      <xdr:row>24</xdr:row>
      <xdr:rowOff>101600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9E20D7A-7272-E04C-9217-349D22C181EE}"/>
            </a:ext>
          </a:extLst>
        </xdr:cNvPr>
        <xdr:cNvCxnSpPr>
          <a:stCxn id="8" idx="3"/>
          <a:endCxn id="36" idx="2"/>
        </xdr:cNvCxnSpPr>
      </xdr:nvCxnSpPr>
      <xdr:spPr>
        <a:xfrm>
          <a:off x="21996399" y="4978400"/>
          <a:ext cx="9017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241300</xdr:colOff>
      <xdr:row>24</xdr:row>
      <xdr:rowOff>101600</xdr:rowOff>
    </xdr:from>
    <xdr:to>
      <xdr:col>25</xdr:col>
      <xdr:colOff>342900</xdr:colOff>
      <xdr:row>24</xdr:row>
      <xdr:rowOff>101600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1F24116-D83D-214D-8342-698819DA8736}"/>
            </a:ext>
          </a:extLst>
        </xdr:cNvPr>
        <xdr:cNvCxnSpPr>
          <a:stCxn id="30" idx="6"/>
          <a:endCxn id="8" idx="1"/>
        </xdr:cNvCxnSpPr>
      </xdr:nvCxnSpPr>
      <xdr:spPr>
        <a:xfrm>
          <a:off x="20053300" y="4978400"/>
          <a:ext cx="9271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507999</xdr:colOff>
      <xdr:row>24</xdr:row>
      <xdr:rowOff>101600</xdr:rowOff>
    </xdr:from>
    <xdr:to>
      <xdr:col>23</xdr:col>
      <xdr:colOff>609600</xdr:colOff>
      <xdr:row>24</xdr:row>
      <xdr:rowOff>101600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CADCFB-C1C4-B348-B899-E5FB4EE0DF99}"/>
            </a:ext>
          </a:extLst>
        </xdr:cNvPr>
        <xdr:cNvCxnSpPr>
          <a:stCxn id="6" idx="3"/>
          <a:endCxn id="30" idx="2"/>
        </xdr:cNvCxnSpPr>
      </xdr:nvCxnSpPr>
      <xdr:spPr>
        <a:xfrm>
          <a:off x="17017999" y="4978400"/>
          <a:ext cx="25781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24</xdr:row>
      <xdr:rowOff>101600</xdr:rowOff>
    </xdr:from>
    <xdr:to>
      <xdr:col>19</xdr:col>
      <xdr:colOff>317500</xdr:colOff>
      <xdr:row>24</xdr:row>
      <xdr:rowOff>101600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EE85D0F-F6C2-264F-9693-77156F980BD0}"/>
            </a:ext>
          </a:extLst>
        </xdr:cNvPr>
        <xdr:cNvCxnSpPr>
          <a:cxnSpLocks/>
          <a:stCxn id="17" idx="6"/>
          <a:endCxn id="6" idx="1"/>
        </xdr:cNvCxnSpPr>
      </xdr:nvCxnSpPr>
      <xdr:spPr>
        <a:xfrm>
          <a:off x="13436600" y="4978400"/>
          <a:ext cx="25654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495299</xdr:colOff>
      <xdr:row>24</xdr:row>
      <xdr:rowOff>101600</xdr:rowOff>
    </xdr:from>
    <xdr:to>
      <xdr:col>15</xdr:col>
      <xdr:colOff>596900</xdr:colOff>
      <xdr:row>24</xdr:row>
      <xdr:rowOff>101600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036BE95-77D3-224F-B48B-F775DE1E7EC1}"/>
            </a:ext>
          </a:extLst>
        </xdr:cNvPr>
        <xdr:cNvCxnSpPr>
          <a:stCxn id="5" idx="3"/>
          <a:endCxn id="17" idx="2"/>
        </xdr:cNvCxnSpPr>
      </xdr:nvCxnSpPr>
      <xdr:spPr>
        <a:xfrm>
          <a:off x="12052299" y="4978400"/>
          <a:ext cx="9271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</xdr:colOff>
      <xdr:row>23</xdr:row>
      <xdr:rowOff>69850</xdr:rowOff>
    </xdr:from>
    <xdr:to>
      <xdr:col>20</xdr:col>
      <xdr:colOff>6350</xdr:colOff>
      <xdr:row>23</xdr:row>
      <xdr:rowOff>82550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CB26F990-258F-6076-839C-A18F8E18B16F}"/>
            </a:ext>
          </a:extLst>
        </xdr:cNvPr>
        <xdr:cNvCxnSpPr>
          <a:cxnSpLocks/>
          <a:stCxn id="6" idx="0"/>
          <a:endCxn id="17" idx="0"/>
        </xdr:cNvCxnSpPr>
      </xdr:nvCxnSpPr>
      <xdr:spPr>
        <a:xfrm rot="16200000" flipV="1">
          <a:off x="14859000" y="3098800"/>
          <a:ext cx="12700" cy="3302000"/>
        </a:xfrm>
        <a:prstGeom prst="bentConnector3">
          <a:avLst>
            <a:gd name="adj1" fmla="val 1800000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609600</xdr:colOff>
      <xdr:row>23</xdr:row>
      <xdr:rowOff>76200</xdr:rowOff>
    </xdr:from>
    <xdr:to>
      <xdr:col>24</xdr:col>
      <xdr:colOff>241300</xdr:colOff>
      <xdr:row>25</xdr:row>
      <xdr:rowOff>127000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9D61395-497E-3A4C-B0A2-257A0923A669}"/>
            </a:ext>
          </a:extLst>
        </xdr:cNvPr>
        <xdr:cNvSpPr>
          <a:spLocks/>
        </xdr:cNvSpPr>
      </xdr:nvSpPr>
      <xdr:spPr>
        <a:xfrm>
          <a:off x="19596100" y="47498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27</xdr:col>
      <xdr:colOff>609600</xdr:colOff>
      <xdr:row>23</xdr:row>
      <xdr:rowOff>76200</xdr:rowOff>
    </xdr:from>
    <xdr:to>
      <xdr:col>28</xdr:col>
      <xdr:colOff>241300</xdr:colOff>
      <xdr:row>25</xdr:row>
      <xdr:rowOff>127000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17BF7CE-C222-C64B-8C12-B08F933783F0}"/>
            </a:ext>
          </a:extLst>
        </xdr:cNvPr>
        <xdr:cNvSpPr>
          <a:spLocks/>
        </xdr:cNvSpPr>
      </xdr:nvSpPr>
      <xdr:spPr>
        <a:xfrm>
          <a:off x="22898100" y="47498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24</xdr:col>
      <xdr:colOff>12700</xdr:colOff>
      <xdr:row>25</xdr:row>
      <xdr:rowOff>127000</xdr:rowOff>
    </xdr:from>
    <xdr:to>
      <xdr:col>24</xdr:col>
      <xdr:colOff>622300</xdr:colOff>
      <xdr:row>35</xdr:row>
      <xdr:rowOff>38100</xdr:rowOff>
    </xdr:to>
    <xdr:cxnSp macro="">
      <xdr:nvCxnSpPr>
        <xdr:cNvPr id="42" name="Elbow Connector 41">
          <a:extLst>
            <a:ext uri="{FF2B5EF4-FFF2-40B4-BE49-F238E27FC236}">
              <a16:creationId xmlns:a16="http://schemas.microsoft.com/office/drawing/2014/main" id="{7CCD72E1-4BDA-B7C1-D64D-93D78F86066E}"/>
            </a:ext>
          </a:extLst>
        </xdr:cNvPr>
        <xdr:cNvCxnSpPr>
          <a:cxnSpLocks/>
          <a:stCxn id="77" idx="2"/>
          <a:endCxn id="30" idx="4"/>
        </xdr:cNvCxnSpPr>
      </xdr:nvCxnSpPr>
      <xdr:spPr>
        <a:xfrm rot="10800000">
          <a:off x="19824700" y="5207000"/>
          <a:ext cx="609600" cy="19431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596900</xdr:colOff>
      <xdr:row>18</xdr:row>
      <xdr:rowOff>190500</xdr:rowOff>
    </xdr:from>
    <xdr:to>
      <xdr:col>19</xdr:col>
      <xdr:colOff>596900</xdr:colOff>
      <xdr:row>24</xdr:row>
      <xdr:rowOff>101600</xdr:rowOff>
    </xdr:to>
    <xdr:cxnSp macro="">
      <xdr:nvCxnSpPr>
        <xdr:cNvPr id="43" name="Elbow Connector 42">
          <a:extLst>
            <a:ext uri="{FF2B5EF4-FFF2-40B4-BE49-F238E27FC236}">
              <a16:creationId xmlns:a16="http://schemas.microsoft.com/office/drawing/2014/main" id="{389FB8EA-6A62-334A-ABAA-181D6B7B3260}"/>
            </a:ext>
          </a:extLst>
        </xdr:cNvPr>
        <xdr:cNvCxnSpPr>
          <a:stCxn id="94" idx="2"/>
          <a:endCxn id="17" idx="2"/>
        </xdr:cNvCxnSpPr>
      </xdr:nvCxnSpPr>
      <xdr:spPr>
        <a:xfrm rot="10800000" flipV="1">
          <a:off x="12979400" y="3848100"/>
          <a:ext cx="3302000" cy="1130300"/>
        </a:xfrm>
        <a:prstGeom prst="bentConnector3">
          <a:avLst>
            <a:gd name="adj1" fmla="val 106923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</xdr:colOff>
      <xdr:row>25</xdr:row>
      <xdr:rowOff>120650</xdr:rowOff>
    </xdr:from>
    <xdr:to>
      <xdr:col>31</xdr:col>
      <xdr:colOff>819150</xdr:colOff>
      <xdr:row>25</xdr:row>
      <xdr:rowOff>133350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48EC1CC1-318A-F74E-A436-9FDE1B581F20}"/>
            </a:ext>
          </a:extLst>
        </xdr:cNvPr>
        <xdr:cNvCxnSpPr>
          <a:stCxn id="9" idx="2"/>
          <a:endCxn id="6" idx="2"/>
        </xdr:cNvCxnSpPr>
      </xdr:nvCxnSpPr>
      <xdr:spPr>
        <a:xfrm rot="5400000">
          <a:off x="21456650" y="260350"/>
          <a:ext cx="12700" cy="9893300"/>
        </a:xfrm>
        <a:prstGeom prst="bentConnector3">
          <a:avLst>
            <a:gd name="adj1" fmla="val 22400000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25</xdr:row>
      <xdr:rowOff>127000</xdr:rowOff>
    </xdr:from>
    <xdr:to>
      <xdr:col>20</xdr:col>
      <xdr:colOff>0</xdr:colOff>
      <xdr:row>62</xdr:row>
      <xdr:rowOff>152400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B168F6B-A244-C63A-55CB-401A86E5757C}"/>
            </a:ext>
          </a:extLst>
        </xdr:cNvPr>
        <xdr:cNvCxnSpPr>
          <a:endCxn id="6" idx="2"/>
        </xdr:cNvCxnSpPr>
      </xdr:nvCxnSpPr>
      <xdr:spPr>
        <a:xfrm flipV="1">
          <a:off x="16510000" y="5207000"/>
          <a:ext cx="0" cy="754380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24</xdr:row>
      <xdr:rowOff>101600</xdr:rowOff>
    </xdr:from>
    <xdr:to>
      <xdr:col>9</xdr:col>
      <xdr:colOff>609600</xdr:colOff>
      <xdr:row>24</xdr:row>
      <xdr:rowOff>101600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2C39D3EC-AAEC-AB49-810E-FAC321848FB8}"/>
            </a:ext>
          </a:extLst>
        </xdr:cNvPr>
        <xdr:cNvCxnSpPr>
          <a:endCxn id="12" idx="2"/>
        </xdr:cNvCxnSpPr>
      </xdr:nvCxnSpPr>
      <xdr:spPr>
        <a:xfrm>
          <a:off x="5791200" y="4978400"/>
          <a:ext cx="22479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495299</xdr:colOff>
      <xdr:row>24</xdr:row>
      <xdr:rowOff>101600</xdr:rowOff>
    </xdr:from>
    <xdr:to>
      <xdr:col>35</xdr:col>
      <xdr:colOff>215900</xdr:colOff>
      <xdr:row>24</xdr:row>
      <xdr:rowOff>101600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6D11FBE3-E909-9C4A-815F-9D448C325456}"/>
            </a:ext>
          </a:extLst>
        </xdr:cNvPr>
        <xdr:cNvCxnSpPr>
          <a:stCxn id="9" idx="3"/>
        </xdr:cNvCxnSpPr>
      </xdr:nvCxnSpPr>
      <xdr:spPr>
        <a:xfrm>
          <a:off x="26911299" y="4978400"/>
          <a:ext cx="21971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18</xdr:row>
      <xdr:rowOff>38100</xdr:rowOff>
    </xdr:from>
    <xdr:to>
      <xdr:col>28</xdr:col>
      <xdr:colOff>12700</xdr:colOff>
      <xdr:row>23</xdr:row>
      <xdr:rowOff>76200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C1380473-7986-9C4B-BC91-5047BD326512}"/>
            </a:ext>
          </a:extLst>
        </xdr:cNvPr>
        <xdr:cNvCxnSpPr>
          <a:endCxn id="36" idx="0"/>
        </xdr:cNvCxnSpPr>
      </xdr:nvCxnSpPr>
      <xdr:spPr>
        <a:xfrm>
          <a:off x="23114000" y="3695700"/>
          <a:ext cx="12700" cy="105410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622300</xdr:colOff>
      <xdr:row>34</xdr:row>
      <xdr:rowOff>12700</xdr:rowOff>
    </xdr:from>
    <xdr:to>
      <xdr:col>25</xdr:col>
      <xdr:colOff>254000</xdr:colOff>
      <xdr:row>36</xdr:row>
      <xdr:rowOff>63500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B8897FAF-4DAC-4C4E-9866-13546A10EA23}"/>
            </a:ext>
          </a:extLst>
        </xdr:cNvPr>
        <xdr:cNvSpPr>
          <a:spLocks/>
        </xdr:cNvSpPr>
      </xdr:nvSpPr>
      <xdr:spPr>
        <a:xfrm>
          <a:off x="20434300" y="6921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25</xdr:col>
      <xdr:colOff>254000</xdr:colOff>
      <xdr:row>25</xdr:row>
      <xdr:rowOff>127000</xdr:rowOff>
    </xdr:from>
    <xdr:to>
      <xdr:col>28</xdr:col>
      <xdr:colOff>12700</xdr:colOff>
      <xdr:row>35</xdr:row>
      <xdr:rowOff>38100</xdr:rowOff>
    </xdr:to>
    <xdr:cxnSp macro="">
      <xdr:nvCxnSpPr>
        <xdr:cNvPr id="81" name="Elbow Connector 80">
          <a:extLst>
            <a:ext uri="{FF2B5EF4-FFF2-40B4-BE49-F238E27FC236}">
              <a16:creationId xmlns:a16="http://schemas.microsoft.com/office/drawing/2014/main" id="{05D86699-4CAB-324F-BD77-282243B64000}"/>
            </a:ext>
          </a:extLst>
        </xdr:cNvPr>
        <xdr:cNvCxnSpPr>
          <a:cxnSpLocks/>
          <a:stCxn id="36" idx="4"/>
          <a:endCxn id="77" idx="6"/>
        </xdr:cNvCxnSpPr>
      </xdr:nvCxnSpPr>
      <xdr:spPr>
        <a:xfrm rot="5400000">
          <a:off x="21037550" y="5060950"/>
          <a:ext cx="1943100" cy="22352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25</xdr:row>
      <xdr:rowOff>127000</xdr:rowOff>
    </xdr:from>
    <xdr:to>
      <xdr:col>25</xdr:col>
      <xdr:colOff>25400</xdr:colOff>
      <xdr:row>36</xdr:row>
      <xdr:rowOff>63500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1216D85B-8FB6-4B4F-949F-7173872089C7}"/>
            </a:ext>
          </a:extLst>
        </xdr:cNvPr>
        <xdr:cNvCxnSpPr>
          <a:cxnSpLocks/>
          <a:stCxn id="17" idx="4"/>
          <a:endCxn id="77" idx="4"/>
        </xdr:cNvCxnSpPr>
      </xdr:nvCxnSpPr>
      <xdr:spPr>
        <a:xfrm rot="16200000" flipH="1">
          <a:off x="15849600" y="2565400"/>
          <a:ext cx="2171700" cy="7454900"/>
        </a:xfrm>
        <a:prstGeom prst="bentConnector3">
          <a:avLst>
            <a:gd name="adj1" fmla="val 110526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</xdr:row>
      <xdr:rowOff>190500</xdr:rowOff>
    </xdr:from>
    <xdr:to>
      <xdr:col>20</xdr:col>
      <xdr:colOff>0</xdr:colOff>
      <xdr:row>17</xdr:row>
      <xdr:rowOff>165100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6E5CC987-9BBE-B34B-B279-C4E83F820140}"/>
            </a:ext>
          </a:extLst>
        </xdr:cNvPr>
        <xdr:cNvCxnSpPr>
          <a:stCxn id="94" idx="0"/>
        </xdr:cNvCxnSpPr>
      </xdr:nvCxnSpPr>
      <xdr:spPr>
        <a:xfrm flipV="1">
          <a:off x="16510000" y="2832100"/>
          <a:ext cx="0" cy="787400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596900</xdr:colOff>
      <xdr:row>17</xdr:row>
      <xdr:rowOff>165100</xdr:rowOff>
    </xdr:from>
    <xdr:to>
      <xdr:col>20</xdr:col>
      <xdr:colOff>228600</xdr:colOff>
      <xdr:row>20</xdr:row>
      <xdr:rowOff>12700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DD596B1A-0487-424D-8F13-7A188CA4C19A}"/>
            </a:ext>
          </a:extLst>
        </xdr:cNvPr>
        <xdr:cNvSpPr>
          <a:spLocks/>
        </xdr:cNvSpPr>
      </xdr:nvSpPr>
      <xdr:spPr>
        <a:xfrm>
          <a:off x="16281400" y="3619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20</xdr:col>
      <xdr:colOff>228600</xdr:colOff>
      <xdr:row>18</xdr:row>
      <xdr:rowOff>190500</xdr:rowOff>
    </xdr:from>
    <xdr:to>
      <xdr:col>24</xdr:col>
      <xdr:colOff>12700</xdr:colOff>
      <xdr:row>23</xdr:row>
      <xdr:rowOff>76200</xdr:rowOff>
    </xdr:to>
    <xdr:cxnSp macro="">
      <xdr:nvCxnSpPr>
        <xdr:cNvPr id="96" name="Elbow Connector 95">
          <a:extLst>
            <a:ext uri="{FF2B5EF4-FFF2-40B4-BE49-F238E27FC236}">
              <a16:creationId xmlns:a16="http://schemas.microsoft.com/office/drawing/2014/main" id="{AE8EEFA2-924B-B244-86BA-1D9A9BC0193C}"/>
            </a:ext>
          </a:extLst>
        </xdr:cNvPr>
        <xdr:cNvCxnSpPr>
          <a:stCxn id="30" idx="0"/>
          <a:endCxn id="94" idx="6"/>
        </xdr:cNvCxnSpPr>
      </xdr:nvCxnSpPr>
      <xdr:spPr>
        <a:xfrm rot="16200000" flipV="1">
          <a:off x="17830800" y="2755900"/>
          <a:ext cx="901700" cy="30861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</xdr:row>
      <xdr:rowOff>12700</xdr:rowOff>
    </xdr:from>
    <xdr:to>
      <xdr:col>25</xdr:col>
      <xdr:colOff>25400</xdr:colOff>
      <xdr:row>34</xdr:row>
      <xdr:rowOff>12700</xdr:rowOff>
    </xdr:to>
    <xdr:cxnSp macro="">
      <xdr:nvCxnSpPr>
        <xdr:cNvPr id="101" name="Elbow Connector 100">
          <a:extLst>
            <a:ext uri="{FF2B5EF4-FFF2-40B4-BE49-F238E27FC236}">
              <a16:creationId xmlns:a16="http://schemas.microsoft.com/office/drawing/2014/main" id="{103ED95B-5C86-1B4A-B5BC-B5159ED0709E}"/>
            </a:ext>
          </a:extLst>
        </xdr:cNvPr>
        <xdr:cNvCxnSpPr>
          <a:cxnSpLocks/>
          <a:stCxn id="77" idx="0"/>
          <a:endCxn id="94" idx="4"/>
        </xdr:cNvCxnSpPr>
      </xdr:nvCxnSpPr>
      <xdr:spPr>
        <a:xfrm rot="16200000" flipV="1">
          <a:off x="17164050" y="3422650"/>
          <a:ext cx="2844800" cy="4152900"/>
        </a:xfrm>
        <a:prstGeom prst="bentConnector3">
          <a:avLst>
            <a:gd name="adj1" fmla="val 90179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24</xdr:row>
      <xdr:rowOff>101600</xdr:rowOff>
    </xdr:from>
    <xdr:to>
      <xdr:col>32</xdr:col>
      <xdr:colOff>495299</xdr:colOff>
      <xdr:row>24</xdr:row>
      <xdr:rowOff>114300</xdr:rowOff>
    </xdr:to>
    <xdr:cxnSp macro="">
      <xdr:nvCxnSpPr>
        <xdr:cNvPr id="118" name="Elbow Connector 117">
          <a:extLst>
            <a:ext uri="{FF2B5EF4-FFF2-40B4-BE49-F238E27FC236}">
              <a16:creationId xmlns:a16="http://schemas.microsoft.com/office/drawing/2014/main" id="{3F24331A-5454-2B8F-D309-E5EA2E34E505}"/>
            </a:ext>
          </a:extLst>
        </xdr:cNvPr>
        <xdr:cNvCxnSpPr>
          <a:stCxn id="9" idx="3"/>
          <a:endCxn id="5" idx="1"/>
        </xdr:cNvCxnSpPr>
      </xdr:nvCxnSpPr>
      <xdr:spPr>
        <a:xfrm flipH="1">
          <a:off x="11036300" y="4978400"/>
          <a:ext cx="15874999" cy="12700"/>
        </a:xfrm>
        <a:prstGeom prst="bentConnector5">
          <a:avLst>
            <a:gd name="adj1" fmla="val -1440"/>
            <a:gd name="adj2" fmla="val 48000000"/>
            <a:gd name="adj3" fmla="val 113600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635000</xdr:colOff>
      <xdr:row>13</xdr:row>
      <xdr:rowOff>38100</xdr:rowOff>
    </xdr:from>
    <xdr:to>
      <xdr:col>19</xdr:col>
      <xdr:colOff>596900</xdr:colOff>
      <xdr:row>18</xdr:row>
      <xdr:rowOff>190500</xdr:rowOff>
    </xdr:to>
    <xdr:cxnSp macro="">
      <xdr:nvCxnSpPr>
        <xdr:cNvPr id="210" name="Elbow Connector 209">
          <a:extLst>
            <a:ext uri="{FF2B5EF4-FFF2-40B4-BE49-F238E27FC236}">
              <a16:creationId xmlns:a16="http://schemas.microsoft.com/office/drawing/2014/main" id="{C10CD5A3-FBA6-B946-BE69-E10990F4E9D8}"/>
            </a:ext>
          </a:extLst>
        </xdr:cNvPr>
        <xdr:cNvCxnSpPr>
          <a:stCxn id="94" idx="2"/>
        </xdr:cNvCxnSpPr>
      </xdr:nvCxnSpPr>
      <xdr:spPr>
        <a:xfrm rot="10800000">
          <a:off x="15494000" y="2679700"/>
          <a:ext cx="787400" cy="11684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fk.de/wasser-abwasser/wasser/industriewasser-wird-im-schnitt-ein-cent-teurer" TargetMode="External"/><Relationship Id="rId13" Type="http://schemas.openxmlformats.org/officeDocument/2006/relationships/hyperlink" Target="https://www.intratec.us/solutions/energy-prices-markets/commodity/natural-gas-price-united-states" TargetMode="External"/><Relationship Id="rId3" Type="http://schemas.openxmlformats.org/officeDocument/2006/relationships/hyperlink" Target="https://www.globalccsinstitute.com/wp-content/uploads/2025/12/Cost-of-CO2-Storage-1225.pdf" TargetMode="External"/><Relationship Id="rId7" Type="http://schemas.openxmlformats.org/officeDocument/2006/relationships/hyperlink" Target="https://www.sciencedirect.com/science/article/pii/S0921344919305695" TargetMode="External"/><Relationship Id="rId12" Type="http://schemas.openxmlformats.org/officeDocument/2006/relationships/hyperlink" Target="https://www.intratec.us/solutions/energy-prices-markets/commodity/natural-gas-price-germany" TargetMode="External"/><Relationship Id="rId2" Type="http://schemas.openxmlformats.org/officeDocument/2006/relationships/hyperlink" Target="https://businessanalytiq.com/procurementanalytics/index/carbon-dioxide-price-index/" TargetMode="External"/><Relationship Id="rId1" Type="http://schemas.openxmlformats.org/officeDocument/2006/relationships/hyperlink" Target="https://tradingeconomics.com/commodity/carbon" TargetMode="External"/><Relationship Id="rId6" Type="http://schemas.openxmlformats.org/officeDocument/2006/relationships/hyperlink" Target="https://porvoo.com.cn/blog/wastewater-treatment-prices-investment-breakdown/" TargetMode="External"/><Relationship Id="rId11" Type="http://schemas.openxmlformats.org/officeDocument/2006/relationships/hyperlink" Target="https://tradingeconomics.com/commodity/eu-natural-gas" TargetMode="External"/><Relationship Id="rId5" Type="http://schemas.openxmlformats.org/officeDocument/2006/relationships/hyperlink" Target="https://www.sciencedirect.com/science/article/pii/S1750583621001195" TargetMode="External"/><Relationship Id="rId10" Type="http://schemas.openxmlformats.org/officeDocument/2006/relationships/hyperlink" Target="https://www.engineeringtoolbox.com/fuels-higher-calorific-values-d_169.html" TargetMode="External"/><Relationship Id="rId4" Type="http://schemas.openxmlformats.org/officeDocument/2006/relationships/hyperlink" Target="https://zeroemissionsplatform.eu/publication/co2-storage-cost/" TargetMode="External"/><Relationship Id="rId9" Type="http://schemas.openxmlformats.org/officeDocument/2006/relationships/hyperlink" Target="https://worldpopulationreview.com/country-rankings/cost-of-electricity-by-country" TargetMode="External"/><Relationship Id="rId14" Type="http://schemas.openxmlformats.org/officeDocument/2006/relationships/hyperlink" Target="https://www.intratec.us/solutions/energy-prices-markets/commodity/natural-gas-price-chin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peacesoftware.de/einigewerte/wasser_dampf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peacesoftware.de/einigewerte/wasser_dampf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de.wikipedia.org/wiki/Verdampfungsenthalpie" TargetMode="External"/><Relationship Id="rId1" Type="http://schemas.openxmlformats.org/officeDocument/2006/relationships/hyperlink" Target="https://en.wikipedia.org/wiki/Heat_of_combustio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de.wikipedia.org/wiki/Verdampfungsenthalpie" TargetMode="External"/><Relationship Id="rId1" Type="http://schemas.openxmlformats.org/officeDocument/2006/relationships/hyperlink" Target="https://en.wikipedia.org/wiki/Heat_of_combu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9033-F17D-1E4A-B16A-31C7CC049A6C}">
  <dimension ref="B3:V26"/>
  <sheetViews>
    <sheetView tabSelected="1" workbookViewId="0">
      <selection activeCell="H10" sqref="H10"/>
    </sheetView>
  </sheetViews>
  <sheetFormatPr baseColWidth="10" defaultRowHeight="16" x14ac:dyDescent="0.2"/>
  <cols>
    <col min="8" max="8" width="12.1640625" bestFit="1" customWidth="1"/>
  </cols>
  <sheetData>
    <row r="3" spans="2:22" x14ac:dyDescent="0.2">
      <c r="J3" t="s">
        <v>292</v>
      </c>
    </row>
    <row r="4" spans="2:22" x14ac:dyDescent="0.2">
      <c r="J4" s="2">
        <v>0.85</v>
      </c>
    </row>
    <row r="5" spans="2:22" x14ac:dyDescent="0.2">
      <c r="C5" t="s">
        <v>258</v>
      </c>
      <c r="D5" t="s">
        <v>229</v>
      </c>
      <c r="E5" t="s">
        <v>230</v>
      </c>
      <c r="G5" t="s">
        <v>261</v>
      </c>
      <c r="H5" t="s">
        <v>239</v>
      </c>
      <c r="I5" t="s">
        <v>262</v>
      </c>
    </row>
    <row r="7" spans="2:22" x14ac:dyDescent="0.2">
      <c r="B7" t="s">
        <v>231</v>
      </c>
      <c r="D7">
        <f>'OCMC eSMR'!AY34</f>
        <v>5000.5</v>
      </c>
      <c r="E7">
        <f>'SMR, WGSR, C-forming, C2H6'!AS34</f>
        <v>5000.5</v>
      </c>
      <c r="Q7" t="s">
        <v>229</v>
      </c>
      <c r="T7" t="s">
        <v>230</v>
      </c>
    </row>
    <row r="8" spans="2:22" x14ac:dyDescent="0.2">
      <c r="B8" t="s">
        <v>260</v>
      </c>
      <c r="C8">
        <f>36.6*0.000277778</f>
        <v>1.0166674800000001E-2</v>
      </c>
      <c r="D8" s="35">
        <f>-'OCMC eSMR'!D34*C8</f>
        <v>-13.902489911328709</v>
      </c>
      <c r="E8" s="35">
        <f>-'SMR, WGSR, C-forming, C2H6'!D34*C8</f>
        <v>-21.960017568000001</v>
      </c>
      <c r="G8" s="2">
        <v>15</v>
      </c>
      <c r="H8" s="2">
        <v>40</v>
      </c>
      <c r="I8" s="2">
        <v>40</v>
      </c>
      <c r="J8" t="s">
        <v>257</v>
      </c>
      <c r="K8" t="s">
        <v>254</v>
      </c>
      <c r="L8" s="4" t="s">
        <v>294</v>
      </c>
      <c r="M8" t="s">
        <v>255</v>
      </c>
      <c r="N8" s="4" t="s">
        <v>293</v>
      </c>
      <c r="O8" t="s">
        <v>253</v>
      </c>
      <c r="P8" s="4" t="s">
        <v>295</v>
      </c>
      <c r="Q8">
        <f>$D8*G8</f>
        <v>-208.53734866993065</v>
      </c>
      <c r="R8">
        <f>$D8*H8</f>
        <v>-556.09959645314837</v>
      </c>
      <c r="S8">
        <f>$D8*I8</f>
        <v>-556.09959645314837</v>
      </c>
      <c r="T8">
        <f>$E8*G8</f>
        <v>-329.40026352000001</v>
      </c>
      <c r="U8">
        <f>$E8*H8</f>
        <v>-878.40070272000003</v>
      </c>
      <c r="V8">
        <f>$E8*I8</f>
        <v>-878.40070272000003</v>
      </c>
    </row>
    <row r="9" spans="2:22" x14ac:dyDescent="0.2">
      <c r="B9" t="s">
        <v>232</v>
      </c>
      <c r="D9">
        <v>0</v>
      </c>
      <c r="E9" s="5">
        <f>'SMR, WGSR, C-forming, C2H6'!V3</f>
        <v>985.86696975910309</v>
      </c>
      <c r="G9" s="2">
        <f>G8*0.95*'OCMC eSMR'!$P$14*0.000000277778</f>
        <v>1.2199988926649998E-2</v>
      </c>
      <c r="H9" s="2">
        <f>H8*0.95*'OCMC eSMR'!$P$14*0.000000277778</f>
        <v>3.2533303804399998E-2</v>
      </c>
      <c r="I9" s="2">
        <f>I8*0.95*'OCMC eSMR'!$P$14*0.000000277778</f>
        <v>3.2533303804399998E-2</v>
      </c>
      <c r="J9" t="s">
        <v>238</v>
      </c>
      <c r="Q9">
        <f t="shared" ref="Q9:Q14" si="0">$D9*G9</f>
        <v>0</v>
      </c>
      <c r="R9">
        <f t="shared" ref="R9:S14" si="1">$D9*H9</f>
        <v>0</v>
      </c>
      <c r="S9">
        <f t="shared" si="1"/>
        <v>0</v>
      </c>
      <c r="T9">
        <f t="shared" ref="T9:V14" si="2">$E9*G9</f>
        <v>12.027566114211046</v>
      </c>
      <c r="U9">
        <f t="shared" si="2"/>
        <v>32.073509637896123</v>
      </c>
      <c r="V9">
        <f t="shared" si="2"/>
        <v>32.073509637896123</v>
      </c>
    </row>
    <row r="10" spans="2:22" x14ac:dyDescent="0.2">
      <c r="B10" t="s">
        <v>251</v>
      </c>
      <c r="C10">
        <v>2.7777800000000001E-4</v>
      </c>
      <c r="D10">
        <f>-'OCMC eSMR'!AA45*C10</f>
        <v>-3496.910550338765</v>
      </c>
      <c r="E10">
        <v>0</v>
      </c>
      <c r="G10" s="2">
        <v>0.18</v>
      </c>
      <c r="H10" s="2">
        <v>0.4</v>
      </c>
      <c r="I10" s="2">
        <v>0.08</v>
      </c>
      <c r="J10" t="s">
        <v>252</v>
      </c>
      <c r="K10" t="s">
        <v>254</v>
      </c>
      <c r="L10" t="s">
        <v>255</v>
      </c>
      <c r="M10" t="s">
        <v>286</v>
      </c>
      <c r="N10" s="4" t="s">
        <v>256</v>
      </c>
      <c r="Q10">
        <f>$D10*G10*$J$4</f>
        <v>-535.02731420183102</v>
      </c>
      <c r="R10">
        <f t="shared" ref="R10" si="3">$D10*H10*$J$4</f>
        <v>-1188.9495871151801</v>
      </c>
      <c r="S10">
        <f>$D10*I10*$J$4</f>
        <v>-237.78991742303603</v>
      </c>
      <c r="T10">
        <f>$E10*G10*$J$4</f>
        <v>0</v>
      </c>
      <c r="U10">
        <f t="shared" ref="U10" si="4">$E10*H10*$J$4</f>
        <v>0</v>
      </c>
      <c r="V10">
        <f>$E10*I10*$J$4</f>
        <v>0</v>
      </c>
    </row>
    <row r="11" spans="2:22" x14ac:dyDescent="0.2">
      <c r="B11" t="s">
        <v>233</v>
      </c>
      <c r="D11">
        <v>0</v>
      </c>
      <c r="E11">
        <f>-'SMR, WGSR, C-forming, C2H6'!AJ17</f>
        <v>-4700</v>
      </c>
      <c r="G11" s="2">
        <f>3/1000</f>
        <v>3.0000000000000001E-3</v>
      </c>
      <c r="H11" s="2">
        <f>4/1000</f>
        <v>4.0000000000000001E-3</v>
      </c>
      <c r="I11" s="2">
        <f>5/1000</f>
        <v>5.0000000000000001E-3</v>
      </c>
      <c r="J11" t="s">
        <v>238</v>
      </c>
      <c r="K11" s="4" t="s">
        <v>250</v>
      </c>
      <c r="Q11">
        <f t="shared" si="0"/>
        <v>0</v>
      </c>
      <c r="R11">
        <f t="shared" si="1"/>
        <v>0</v>
      </c>
      <c r="S11">
        <f t="shared" si="1"/>
        <v>0</v>
      </c>
      <c r="T11">
        <f t="shared" si="2"/>
        <v>-14.1</v>
      </c>
      <c r="U11">
        <f t="shared" si="2"/>
        <v>-18.8</v>
      </c>
      <c r="V11">
        <f t="shared" si="2"/>
        <v>-23.5</v>
      </c>
    </row>
    <row r="12" spans="2:22" x14ac:dyDescent="0.2">
      <c r="B12" t="s">
        <v>237</v>
      </c>
      <c r="D12" s="5">
        <f>'OCMC eSMR'!AP19</f>
        <v>1459.9682570870859</v>
      </c>
      <c r="E12" s="5">
        <f>'SMR, WGSR, C-forming, C2H6'!AP17</f>
        <v>2139.6528536809424</v>
      </c>
      <c r="G12" s="2">
        <f>-4/1000</f>
        <v>-4.0000000000000001E-3</v>
      </c>
      <c r="H12" s="2">
        <f>-8/1000</f>
        <v>-8.0000000000000002E-3</v>
      </c>
      <c r="I12" s="2">
        <f>-12/1000</f>
        <v>-1.2E-2</v>
      </c>
      <c r="J12" t="s">
        <v>247</v>
      </c>
      <c r="K12" s="4" t="s">
        <v>248</v>
      </c>
      <c r="L12" s="4" t="s">
        <v>249</v>
      </c>
      <c r="Q12">
        <f>$D12*G12*$J$4</f>
        <v>-4.9638920740960923</v>
      </c>
      <c r="R12">
        <f t="shared" ref="R12:R13" si="5">$D12*H12*$J$4</f>
        <v>-9.9277841481921847</v>
      </c>
      <c r="S12">
        <f t="shared" ref="S12" si="6">$D12*I12*$J$4</f>
        <v>-14.891676222288277</v>
      </c>
      <c r="T12">
        <f>$E12*G12*$J$4</f>
        <v>-7.2748197025152033</v>
      </c>
      <c r="U12">
        <f>$E12*H12*$J$4</f>
        <v>-14.549639405030407</v>
      </c>
      <c r="V12">
        <f t="shared" ref="V12:V13" si="7">$E12*I12*$J$4</f>
        <v>-21.824459107545611</v>
      </c>
    </row>
    <row r="13" spans="2:22" x14ac:dyDescent="0.2">
      <c r="B13" t="s">
        <v>234</v>
      </c>
      <c r="D13" s="5">
        <f>'OCMC eSMR'!AU9</f>
        <v>2083.2491395642305</v>
      </c>
      <c r="E13">
        <v>0</v>
      </c>
      <c r="G13" s="2">
        <f>-30/1000</f>
        <v>-0.03</v>
      </c>
      <c r="H13" s="2">
        <f>-21/1000</f>
        <v>-2.1000000000000001E-2</v>
      </c>
      <c r="I13" s="2">
        <f>-12/1000</f>
        <v>-1.2E-2</v>
      </c>
      <c r="J13" t="s">
        <v>247</v>
      </c>
      <c r="K13" t="s">
        <v>242</v>
      </c>
      <c r="L13" s="4" t="s">
        <v>245</v>
      </c>
      <c r="M13" s="4" t="s">
        <v>246</v>
      </c>
      <c r="N13" s="4" t="s">
        <v>244</v>
      </c>
      <c r="O13" t="s">
        <v>243</v>
      </c>
      <c r="P13" s="4" t="s">
        <v>241</v>
      </c>
      <c r="Q13">
        <f>$D13*G13*$J$4</f>
        <v>-53.122853058887877</v>
      </c>
      <c r="R13">
        <f t="shared" si="5"/>
        <v>-37.18599714122152</v>
      </c>
      <c r="S13">
        <f>$D13*I13*$J$4</f>
        <v>-21.249141223555149</v>
      </c>
      <c r="T13">
        <f>$E13*G13*$J$4</f>
        <v>0</v>
      </c>
      <c r="U13">
        <f t="shared" ref="U13" si="8">$E13*H13*$J$4</f>
        <v>0</v>
      </c>
      <c r="V13">
        <f t="shared" si="7"/>
        <v>0</v>
      </c>
    </row>
    <row r="14" spans="2:22" ht="17" thickBot="1" x14ac:dyDescent="0.25">
      <c r="B14" t="s">
        <v>235</v>
      </c>
      <c r="D14" s="5">
        <f>SUM('OCMC eSMR'!AZ61:AZ63)</f>
        <v>368.74808916923888</v>
      </c>
      <c r="E14" s="5">
        <f>'SMR, WGSR, C-forming, C2H6'!AC5</f>
        <v>3976.4973190856149</v>
      </c>
      <c r="G14" s="2">
        <v>0</v>
      </c>
      <c r="H14" s="2">
        <f>-80/1000</f>
        <v>-0.08</v>
      </c>
      <c r="I14" s="2">
        <f>-2.27/1000</f>
        <v>-2.2699999999999999E-3</v>
      </c>
      <c r="J14" t="s">
        <v>238</v>
      </c>
      <c r="K14" s="4" t="s">
        <v>240</v>
      </c>
      <c r="Q14" s="46">
        <f t="shared" si="0"/>
        <v>0</v>
      </c>
      <c r="R14" s="46">
        <f t="shared" si="1"/>
        <v>-29.499847133539109</v>
      </c>
      <c r="S14" s="46">
        <f t="shared" si="1"/>
        <v>-0.83705816241417219</v>
      </c>
      <c r="T14" s="46">
        <f t="shared" si="2"/>
        <v>0</v>
      </c>
      <c r="U14" s="46">
        <f t="shared" si="2"/>
        <v>-318.11978552684917</v>
      </c>
      <c r="V14" s="46">
        <f t="shared" si="2"/>
        <v>-9.0266489143243458</v>
      </c>
    </row>
    <row r="15" spans="2:22" x14ac:dyDescent="0.2">
      <c r="C15" s="4" t="s">
        <v>259</v>
      </c>
      <c r="Q15">
        <f t="shared" ref="Q15:V15" si="9">SUM(Q8:Q14)</f>
        <v>-801.65140800474569</v>
      </c>
      <c r="R15">
        <f>SUM(R8:R14)</f>
        <v>-1821.6628119912812</v>
      </c>
      <c r="S15">
        <f t="shared" si="9"/>
        <v>-830.86738948444213</v>
      </c>
      <c r="T15">
        <f t="shared" si="9"/>
        <v>-338.74751710830424</v>
      </c>
      <c r="U15">
        <f t="shared" si="9"/>
        <v>-1197.7966180139836</v>
      </c>
      <c r="V15">
        <f t="shared" si="9"/>
        <v>-900.67830110397392</v>
      </c>
    </row>
    <row r="20" spans="7:21" x14ac:dyDescent="0.2">
      <c r="U20" t="s">
        <v>296</v>
      </c>
    </row>
    <row r="21" spans="7:21" x14ac:dyDescent="0.2">
      <c r="U21" t="s">
        <v>297</v>
      </c>
    </row>
    <row r="22" spans="7:21" x14ac:dyDescent="0.2">
      <c r="U22" t="s">
        <v>298</v>
      </c>
    </row>
    <row r="23" spans="7:21" x14ac:dyDescent="0.2">
      <c r="U23" t="s">
        <v>299</v>
      </c>
    </row>
    <row r="25" spans="7:21" x14ac:dyDescent="0.2">
      <c r="I25">
        <v>87</v>
      </c>
      <c r="J25" t="s">
        <v>288</v>
      </c>
      <c r="K25">
        <v>0.28999999999999998</v>
      </c>
      <c r="L25" t="s">
        <v>289</v>
      </c>
      <c r="M25">
        <v>0.13</v>
      </c>
      <c r="N25" t="s">
        <v>290</v>
      </c>
      <c r="O25">
        <f>I25/K25*M25</f>
        <v>39</v>
      </c>
    </row>
    <row r="26" spans="7:21" x14ac:dyDescent="0.2">
      <c r="G26">
        <v>5</v>
      </c>
      <c r="H26" t="s">
        <v>291</v>
      </c>
      <c r="I26">
        <v>0.28999999999999998</v>
      </c>
      <c r="J26" t="s">
        <v>289</v>
      </c>
      <c r="K26">
        <v>0.85</v>
      </c>
      <c r="L26" t="s">
        <v>292</v>
      </c>
      <c r="M26">
        <f>G26/I26*K26</f>
        <v>14.655172413793105</v>
      </c>
    </row>
  </sheetData>
  <conditionalFormatting sqref="Q8:V14">
    <cfRule type="colorScale" priority="1">
      <colorScale>
        <cfvo type="min"/>
        <cfvo type="max"/>
        <color rgb="FFF8696B"/>
        <color rgb="FFFCFCFF"/>
      </colorScale>
    </cfRule>
  </conditionalFormatting>
  <hyperlinks>
    <hyperlink ref="K14" r:id="rId1" xr:uid="{1EC9A639-B466-F442-96A1-EADC12D03357}"/>
    <hyperlink ref="P13" r:id="rId2" xr:uid="{148E46E2-461B-E14F-B0CF-04B5017DD59E}"/>
    <hyperlink ref="N13" r:id="rId3" xr:uid="{1F9CA218-D112-1646-8907-BD710658A9D2}"/>
    <hyperlink ref="L13" r:id="rId4" xr:uid="{8D0DB2F2-0A34-CC4C-893A-6AA9401F9EEF}"/>
    <hyperlink ref="M13" r:id="rId5" xr:uid="{3ABA9666-D251-CE4B-90F1-B357C8DEE027}"/>
    <hyperlink ref="K12" r:id="rId6" xr:uid="{622367BE-1A5B-DC4E-B8D4-ABC0906A7F27}"/>
    <hyperlink ref="L12" r:id="rId7" xr:uid="{4A4C9FE2-777F-7C45-96F5-E6F40F63526B}"/>
    <hyperlink ref="K11" r:id="rId8" xr:uid="{2E8AAE04-BB5B-CE4A-8CC1-2B09FCA552FD}"/>
    <hyperlink ref="N10" r:id="rId9" xr:uid="{3E9A7247-0C95-AD4B-9378-5DA7C82C1829}"/>
    <hyperlink ref="C15" r:id="rId10" xr:uid="{1D11D0E7-D121-B24A-9D9F-0E3EB50E885D}"/>
    <hyperlink ref="M8" r:id="rId11" display="https://tradingeconomics.com/commodity/eu-natural-gas" xr:uid="{C5C6D57B-3A69-C249-8BF7-83CD18FDB27C}"/>
    <hyperlink ref="N8" r:id="rId12" xr:uid="{D397A18D-5A98-3849-ACFB-8D91872EBF56}"/>
    <hyperlink ref="L8" r:id="rId13" xr:uid="{4333B513-D19B-474D-BEFF-DDB83FA8A5DE}"/>
    <hyperlink ref="P8" r:id="rId14" xr:uid="{AD8D314E-DF5D-A84D-9125-1C7478A9CB04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2DA1-13CD-B34B-B244-327CF29FBC2A}">
  <dimension ref="A1:BI563"/>
  <sheetViews>
    <sheetView topLeftCell="H13" zoomScale="86" zoomScaleNormal="60" workbookViewId="0">
      <selection activeCell="T34" sqref="T34"/>
    </sheetView>
  </sheetViews>
  <sheetFormatPr baseColWidth="10" defaultRowHeight="16" x14ac:dyDescent="0.2"/>
  <cols>
    <col min="4" max="4" width="12.83203125" bestFit="1" customWidth="1"/>
  </cols>
  <sheetData>
    <row r="1" spans="6:47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6:47" x14ac:dyDescent="0.2">
      <c r="F2" t="s">
        <v>7</v>
      </c>
      <c r="G2">
        <v>0</v>
      </c>
      <c r="H2">
        <v>4.8</v>
      </c>
      <c r="I2">
        <v>1.1000000000000001</v>
      </c>
      <c r="J2">
        <v>51.9</v>
      </c>
      <c r="K2">
        <v>74.599999999999994</v>
      </c>
      <c r="L2">
        <v>99.99</v>
      </c>
      <c r="V2" s="9"/>
      <c r="W2" s="4"/>
      <c r="AA2" s="9"/>
    </row>
    <row r="3" spans="6:47" x14ac:dyDescent="0.2">
      <c r="F3" t="s">
        <v>8</v>
      </c>
      <c r="G3">
        <v>1</v>
      </c>
      <c r="H3">
        <v>1</v>
      </c>
      <c r="I3">
        <v>0.3</v>
      </c>
      <c r="J3">
        <v>0.2</v>
      </c>
      <c r="K3">
        <v>0.25</v>
      </c>
      <c r="L3">
        <v>0.01</v>
      </c>
      <c r="V3" s="1"/>
      <c r="AA3" s="19"/>
    </row>
    <row r="4" spans="6:47" x14ac:dyDescent="0.2">
      <c r="F4" t="s">
        <v>9</v>
      </c>
      <c r="G4">
        <v>0</v>
      </c>
      <c r="H4">
        <v>0</v>
      </c>
      <c r="I4">
        <v>0</v>
      </c>
      <c r="J4">
        <v>10.7</v>
      </c>
      <c r="K4">
        <v>5.3</v>
      </c>
      <c r="L4">
        <v>0</v>
      </c>
      <c r="V4" s="1"/>
      <c r="AA4" s="9"/>
      <c r="AN4" s="2" t="s">
        <v>276</v>
      </c>
    </row>
    <row r="5" spans="6:47" x14ac:dyDescent="0.2">
      <c r="F5" t="s">
        <v>10</v>
      </c>
      <c r="G5">
        <v>0.5</v>
      </c>
      <c r="H5">
        <v>0.5</v>
      </c>
      <c r="I5">
        <v>0.1</v>
      </c>
      <c r="J5">
        <v>5.0999999999999996</v>
      </c>
      <c r="K5">
        <v>14.8</v>
      </c>
      <c r="L5">
        <v>0</v>
      </c>
      <c r="AA5" s="19"/>
      <c r="AN5" t="s">
        <v>272</v>
      </c>
      <c r="AO5" t="s">
        <v>273</v>
      </c>
      <c r="AP5" t="s">
        <v>274</v>
      </c>
      <c r="AQ5" t="s">
        <v>275</v>
      </c>
      <c r="AR5" t="s">
        <v>0</v>
      </c>
      <c r="AS5" t="s">
        <v>192</v>
      </c>
      <c r="AT5" t="s">
        <v>132</v>
      </c>
      <c r="AU5" t="s">
        <v>131</v>
      </c>
    </row>
    <row r="6" spans="6:47" x14ac:dyDescent="0.2">
      <c r="F6" t="s">
        <v>11</v>
      </c>
      <c r="G6">
        <v>95</v>
      </c>
      <c r="H6">
        <v>90.4</v>
      </c>
      <c r="I6">
        <v>26.1</v>
      </c>
      <c r="J6">
        <v>3.8</v>
      </c>
      <c r="K6">
        <v>4.9000000000000004</v>
      </c>
      <c r="L6">
        <v>0</v>
      </c>
      <c r="AA6" s="9"/>
      <c r="AN6">
        <v>626</v>
      </c>
      <c r="AO6">
        <f>$AN$9/AN6</f>
        <v>7.9872204472843447E-3</v>
      </c>
      <c r="AP6">
        <f>AQ27/$AQ$30</f>
        <v>4.7907332122541089</v>
      </c>
      <c r="AQ6">
        <f>$AT$9*AO6*AP6</f>
        <v>1811.6996155805537</v>
      </c>
      <c r="AR6" t="s">
        <v>7</v>
      </c>
      <c r="AS6" s="19">
        <f>AT6/$AT$13*100</f>
        <v>3.5844871470716826</v>
      </c>
      <c r="AT6">
        <f>AQ6</f>
        <v>1811.6996155805537</v>
      </c>
    </row>
    <row r="7" spans="6:47" x14ac:dyDescent="0.2">
      <c r="F7" t="s">
        <v>12</v>
      </c>
      <c r="G7">
        <v>3.5</v>
      </c>
      <c r="H7">
        <v>3.3</v>
      </c>
      <c r="I7">
        <v>1</v>
      </c>
      <c r="J7">
        <v>0</v>
      </c>
      <c r="K7">
        <v>0</v>
      </c>
      <c r="L7">
        <v>0</v>
      </c>
      <c r="AA7" s="9"/>
      <c r="AN7">
        <v>364</v>
      </c>
      <c r="AO7">
        <f t="shared" ref="AO7:AO11" si="0">$AN$9/AN7</f>
        <v>1.3736263736263736E-2</v>
      </c>
      <c r="AP7">
        <f t="shared" ref="AP7:AP11" si="1">AQ28/$AQ$30</f>
        <v>5.0140283194667484E-2</v>
      </c>
      <c r="AQ7">
        <f t="shared" ref="AQ7:AQ11" si="2">$AT$9*AO7*AP7</f>
        <v>32.609484834789548</v>
      </c>
      <c r="AR7" t="s">
        <v>8</v>
      </c>
      <c r="AS7" s="19">
        <f t="shared" ref="AS7:AS12" si="3">AT7/$AT$13*100</f>
        <v>6.4518575959114269E-2</v>
      </c>
      <c r="AT7">
        <f t="shared" ref="AT7:AT11" si="4">AQ7</f>
        <v>32.609484834789548</v>
      </c>
    </row>
    <row r="8" spans="6:47" x14ac:dyDescent="0.2">
      <c r="F8" t="s">
        <v>13</v>
      </c>
      <c r="G8">
        <v>0</v>
      </c>
      <c r="H8">
        <v>0</v>
      </c>
      <c r="I8">
        <v>71.400000000000006</v>
      </c>
      <c r="J8">
        <v>28.3</v>
      </c>
      <c r="K8">
        <v>0.15</v>
      </c>
      <c r="L8">
        <v>0</v>
      </c>
      <c r="P8" s="1"/>
      <c r="AA8" s="19"/>
      <c r="AN8">
        <v>239</v>
      </c>
      <c r="AO8">
        <f t="shared" si="0"/>
        <v>2.0920502092050208E-2</v>
      </c>
      <c r="AP8">
        <f t="shared" si="1"/>
        <v>0.6796103223209552</v>
      </c>
      <c r="AQ8">
        <f t="shared" si="2"/>
        <v>673.16356942473328</v>
      </c>
      <c r="AR8" t="s">
        <v>9</v>
      </c>
      <c r="AS8" s="19">
        <f t="shared" si="3"/>
        <v>1.3318687831738771</v>
      </c>
      <c r="AT8">
        <f t="shared" si="4"/>
        <v>673.16356942473328</v>
      </c>
    </row>
    <row r="9" spans="6:47" x14ac:dyDescent="0.2">
      <c r="F9" t="s">
        <v>14</v>
      </c>
      <c r="G9">
        <v>2160</v>
      </c>
      <c r="H9">
        <v>2070</v>
      </c>
      <c r="I9">
        <v>7160</v>
      </c>
      <c r="J9">
        <v>10450</v>
      </c>
      <c r="K9">
        <v>8180</v>
      </c>
      <c r="L9">
        <v>5000.5</v>
      </c>
      <c r="P9" s="1"/>
      <c r="AA9" s="9"/>
      <c r="AN9">
        <v>5</v>
      </c>
      <c r="AO9">
        <f t="shared" si="0"/>
        <v>1</v>
      </c>
      <c r="AP9">
        <f t="shared" si="1"/>
        <v>1</v>
      </c>
      <c r="AQ9">
        <f t="shared" si="2"/>
        <v>47346.571353732506</v>
      </c>
      <c r="AR9" t="s">
        <v>10</v>
      </c>
      <c r="AS9" s="19">
        <f t="shared" si="3"/>
        <v>93.676222601053212</v>
      </c>
      <c r="AT9">
        <f>AQ30-AV30</f>
        <v>47346.571353732506</v>
      </c>
      <c r="AU9" s="5">
        <f>AT9*44/1000</f>
        <v>2083.2491395642305</v>
      </c>
    </row>
    <row r="10" spans="6:47" x14ac:dyDescent="0.2">
      <c r="F10" t="s">
        <v>15</v>
      </c>
      <c r="G10">
        <v>20</v>
      </c>
      <c r="H10">
        <v>390</v>
      </c>
      <c r="I10">
        <v>520</v>
      </c>
      <c r="J10">
        <v>850</v>
      </c>
      <c r="K10">
        <v>20</v>
      </c>
      <c r="L10">
        <v>20</v>
      </c>
      <c r="P10" s="1"/>
      <c r="AA10" s="17"/>
      <c r="AN10">
        <v>91.8</v>
      </c>
      <c r="AO10">
        <f t="shared" si="0"/>
        <v>5.4466230936819175E-2</v>
      </c>
      <c r="AP10">
        <f t="shared" si="1"/>
        <v>6.4688990144157549E-2</v>
      </c>
      <c r="AQ10">
        <f t="shared" si="2"/>
        <v>166.81927492708357</v>
      </c>
      <c r="AR10" t="s">
        <v>11</v>
      </c>
      <c r="AS10" s="19">
        <f t="shared" si="3"/>
        <v>0.33005556865911984</v>
      </c>
      <c r="AT10">
        <f t="shared" si="4"/>
        <v>166.81927492708357</v>
      </c>
    </row>
    <row r="11" spans="6:47" x14ac:dyDescent="0.2">
      <c r="F11" t="s">
        <v>16</v>
      </c>
      <c r="G11">
        <v>2</v>
      </c>
      <c r="H11">
        <v>1.9</v>
      </c>
      <c r="I11">
        <v>1.9</v>
      </c>
      <c r="J11">
        <v>1.7</v>
      </c>
      <c r="K11">
        <v>1.6</v>
      </c>
      <c r="L11">
        <v>1.5</v>
      </c>
      <c r="P11" s="1"/>
      <c r="AA11" s="17"/>
      <c r="AN11">
        <v>10.25</v>
      </c>
      <c r="AO11">
        <f t="shared" si="0"/>
        <v>0.48780487804878048</v>
      </c>
      <c r="AP11">
        <f t="shared" si="1"/>
        <v>0</v>
      </c>
      <c r="AQ11">
        <f t="shared" si="2"/>
        <v>0</v>
      </c>
      <c r="AR11" t="s">
        <v>12</v>
      </c>
      <c r="AS11" s="19">
        <f t="shared" si="3"/>
        <v>0</v>
      </c>
      <c r="AT11">
        <f t="shared" si="4"/>
        <v>0</v>
      </c>
    </row>
    <row r="12" spans="6:47" x14ac:dyDescent="0.2">
      <c r="O12" s="1"/>
      <c r="P12" s="2" t="s">
        <v>188</v>
      </c>
      <c r="AR12" t="s">
        <v>13</v>
      </c>
      <c r="AS12" s="19">
        <f t="shared" si="3"/>
        <v>1.0128473240829878</v>
      </c>
      <c r="AT12">
        <f>AQ33</f>
        <v>511.92124072254222</v>
      </c>
    </row>
    <row r="13" spans="6:47" x14ac:dyDescent="0.2">
      <c r="N13" t="s">
        <v>0</v>
      </c>
      <c r="O13" t="s">
        <v>215</v>
      </c>
      <c r="P13" t="s">
        <v>278</v>
      </c>
      <c r="Q13" t="s">
        <v>132</v>
      </c>
      <c r="R13" t="s">
        <v>131</v>
      </c>
      <c r="S13" t="s">
        <v>226</v>
      </c>
      <c r="AA13" s="6"/>
      <c r="AB13" s="6"/>
      <c r="AC13" s="6"/>
      <c r="AD13" s="5"/>
      <c r="AR13" t="s">
        <v>14</v>
      </c>
      <c r="AS13" s="9">
        <f>AT13*$E$24*$B$34/$A$34/1000</f>
        <v>1252.2338777640987</v>
      </c>
      <c r="AT13">
        <f>SUM(AT6:AT12)</f>
        <v>50542.784539222208</v>
      </c>
    </row>
    <row r="14" spans="6:47" x14ac:dyDescent="0.2">
      <c r="N14" t="s">
        <v>287</v>
      </c>
      <c r="O14" s="1">
        <v>3166.1</v>
      </c>
      <c r="P14" s="1">
        <f>3166.1-84</f>
        <v>3082.1</v>
      </c>
      <c r="T14" s="4" t="s">
        <v>225</v>
      </c>
      <c r="AR14" t="s">
        <v>15</v>
      </c>
      <c r="AS14" s="1">
        <v>20</v>
      </c>
    </row>
    <row r="15" spans="6:47" x14ac:dyDescent="0.2">
      <c r="N15" t="s">
        <v>13</v>
      </c>
      <c r="O15" s="1">
        <v>100</v>
      </c>
      <c r="Q15">
        <f>T33-L33</f>
        <v>147111.22523687096</v>
      </c>
      <c r="R15" s="5">
        <f>Q15*18/1000</f>
        <v>2648.0020542636776</v>
      </c>
      <c r="S15">
        <f>P14*R15</f>
        <v>8161407.1314460803</v>
      </c>
      <c r="W15" s="1"/>
      <c r="X15" s="4"/>
      <c r="AR15" t="s">
        <v>16</v>
      </c>
      <c r="AS15" s="1">
        <v>0.1</v>
      </c>
    </row>
    <row r="16" spans="6:47" x14ac:dyDescent="0.2">
      <c r="N16" t="s">
        <v>14</v>
      </c>
      <c r="O16" s="9">
        <f>Q15*$E$24*$B$34/$A$34/1000</f>
        <v>3644.7865253256487</v>
      </c>
      <c r="W16" s="1"/>
    </row>
    <row r="17" spans="2:53" x14ac:dyDescent="0.2">
      <c r="N17" t="s">
        <v>15</v>
      </c>
      <c r="O17" s="20">
        <v>390</v>
      </c>
      <c r="P17" s="1">
        <v>390</v>
      </c>
      <c r="Q17" s="4"/>
      <c r="W17" s="1"/>
      <c r="AM17" t="s">
        <v>0</v>
      </c>
      <c r="AN17" t="s">
        <v>236</v>
      </c>
      <c r="AO17" t="s">
        <v>132</v>
      </c>
      <c r="AP17" t="s">
        <v>131</v>
      </c>
    </row>
    <row r="18" spans="2:53" x14ac:dyDescent="0.2">
      <c r="N18" t="s">
        <v>16</v>
      </c>
      <c r="O18" s="20">
        <v>5.3</v>
      </c>
      <c r="P18" s="1">
        <v>5.3</v>
      </c>
      <c r="W18" s="1"/>
      <c r="AM18" t="s">
        <v>137</v>
      </c>
      <c r="AN18" s="1">
        <v>84</v>
      </c>
    </row>
    <row r="19" spans="2:53" x14ac:dyDescent="0.2">
      <c r="AM19" t="s">
        <v>13</v>
      </c>
      <c r="AN19" s="1">
        <v>100</v>
      </c>
      <c r="AO19" s="5">
        <f>AC33-AQ33</f>
        <v>81109.347615949213</v>
      </c>
      <c r="AP19" s="5">
        <f>AO19*18/1000</f>
        <v>1459.9682570870859</v>
      </c>
      <c r="AQ19" s="23">
        <f>AN18*AP19</f>
        <v>122637.33359531521</v>
      </c>
    </row>
    <row r="20" spans="2:53" x14ac:dyDescent="0.2">
      <c r="M20" t="s">
        <v>194</v>
      </c>
      <c r="AM20" t="s">
        <v>15</v>
      </c>
      <c r="AN20" s="1">
        <v>20</v>
      </c>
      <c r="AO20" s="4" t="s">
        <v>225</v>
      </c>
    </row>
    <row r="21" spans="2:53" x14ac:dyDescent="0.2">
      <c r="M21" s="2">
        <v>2.5</v>
      </c>
      <c r="AM21" t="s">
        <v>16</v>
      </c>
      <c r="AN21" s="1">
        <v>0.1</v>
      </c>
    </row>
    <row r="22" spans="2:53" x14ac:dyDescent="0.2">
      <c r="AH22" t="s">
        <v>179</v>
      </c>
      <c r="AI22" t="s">
        <v>180</v>
      </c>
    </row>
    <row r="23" spans="2:53" x14ac:dyDescent="0.2">
      <c r="E23" t="s">
        <v>196</v>
      </c>
      <c r="AD23" t="s">
        <v>317</v>
      </c>
      <c r="AH23" s="20">
        <v>313.89263050949205</v>
      </c>
      <c r="AI23" s="20">
        <v>440</v>
      </c>
      <c r="AR23" s="2" t="s">
        <v>267</v>
      </c>
      <c r="AV23" s="18">
        <v>0.82</v>
      </c>
      <c r="AW23" t="s">
        <v>277</v>
      </c>
    </row>
    <row r="24" spans="2:53" x14ac:dyDescent="0.2">
      <c r="E24">
        <v>8.3140000000000006E-2</v>
      </c>
      <c r="AD24" s="1">
        <f>S35</f>
        <v>520</v>
      </c>
    </row>
    <row r="26" spans="2:53" x14ac:dyDescent="0.2">
      <c r="C26" t="s">
        <v>0</v>
      </c>
      <c r="D26" t="s">
        <v>1</v>
      </c>
      <c r="E26" t="s">
        <v>132</v>
      </c>
      <c r="G26" t="s">
        <v>149</v>
      </c>
      <c r="H26" t="s">
        <v>139</v>
      </c>
      <c r="J26" t="s">
        <v>0</v>
      </c>
      <c r="K26" t="s">
        <v>2</v>
      </c>
      <c r="L26" t="s">
        <v>132</v>
      </c>
      <c r="O26" t="s">
        <v>149</v>
      </c>
      <c r="P26" t="s">
        <v>139</v>
      </c>
      <c r="R26" t="s">
        <v>0</v>
      </c>
      <c r="S26" t="s">
        <v>3</v>
      </c>
      <c r="T26" t="s">
        <v>132</v>
      </c>
      <c r="U26" t="s">
        <v>149</v>
      </c>
      <c r="V26" t="s">
        <v>139</v>
      </c>
      <c r="W26" t="s">
        <v>133</v>
      </c>
      <c r="X26" t="s">
        <v>138</v>
      </c>
      <c r="Y26" t="s">
        <v>134</v>
      </c>
      <c r="AA26" t="s">
        <v>0</v>
      </c>
      <c r="AB26" t="s">
        <v>4</v>
      </c>
      <c r="AC26" t="s">
        <v>132</v>
      </c>
      <c r="AD26" t="s">
        <v>149</v>
      </c>
      <c r="AE26" t="s">
        <v>157</v>
      </c>
      <c r="AF26" t="s">
        <v>149</v>
      </c>
      <c r="AG26" t="s">
        <v>157</v>
      </c>
      <c r="AK26" t="s">
        <v>149</v>
      </c>
      <c r="AL26" t="s">
        <v>157</v>
      </c>
      <c r="AO26" t="s">
        <v>0</v>
      </c>
      <c r="AP26" t="s">
        <v>5</v>
      </c>
      <c r="AQ26" t="s">
        <v>132</v>
      </c>
      <c r="AT26" t="s">
        <v>0</v>
      </c>
      <c r="AU26" t="s">
        <v>5</v>
      </c>
      <c r="AV26" t="s">
        <v>132</v>
      </c>
      <c r="AX26" t="s">
        <v>0</v>
      </c>
      <c r="AY26" t="s">
        <v>6</v>
      </c>
      <c r="AZ26" t="s">
        <v>132</v>
      </c>
    </row>
    <row r="27" spans="2:53" x14ac:dyDescent="0.2">
      <c r="C27" t="s">
        <v>7</v>
      </c>
      <c r="D27" s="1">
        <v>0</v>
      </c>
      <c r="E27">
        <f t="shared" ref="E27:E33" si="5">($A$34)*($D$34*D27/100*1000)/($E$24*$B$34)</f>
        <v>0</v>
      </c>
      <c r="G27" cm="1">
        <f t="array" ref="G27:G33">N91:N97</f>
        <v>11.412696539760386</v>
      </c>
      <c r="H27">
        <f t="shared" ref="H27:H33" si="6">G27*L27</f>
        <v>404777.25694770046</v>
      </c>
      <c r="J27" t="s">
        <v>7</v>
      </c>
      <c r="K27" s="19">
        <f>L27/$L$34*100</f>
        <v>28.061118561178137</v>
      </c>
      <c r="L27">
        <f>E27+AI58</f>
        <v>35467.275900792411</v>
      </c>
      <c r="O27" cm="1">
        <f t="array" ref="O27:O33">N99:N105</f>
        <v>3.9119753691091494</v>
      </c>
      <c r="P27" s="5">
        <f>T27*O27</f>
        <v>138747.10973329842</v>
      </c>
      <c r="R27" t="s">
        <v>7</v>
      </c>
      <c r="S27" s="33">
        <f>T27/$T$34*100</f>
        <v>12.967727351550531</v>
      </c>
      <c r="T27">
        <f>L27</f>
        <v>35467.275900792411</v>
      </c>
      <c r="U27" cm="1">
        <f t="array" ref="U27:U33">N107:N113</f>
        <v>17.899022141836681</v>
      </c>
      <c r="V27" s="5">
        <f>T27*U27</f>
        <v>634829.55665891385</v>
      </c>
      <c r="W27" s="17" t="s">
        <v>77</v>
      </c>
      <c r="X27" s="5">
        <f>Z108*AC121</f>
        <v>12040544.926316883</v>
      </c>
      <c r="Y27" t="s">
        <v>122</v>
      </c>
      <c r="AA27" t="s">
        <v>7</v>
      </c>
      <c r="AB27" s="34">
        <v>54.605899999999998</v>
      </c>
      <c r="AC27">
        <f>AB27/100*$AC$34</f>
        <v>209963.62478202954</v>
      </c>
      <c r="AD27" cm="1">
        <f t="array" ref="AD27:AD33">N115:N121</f>
        <v>-17.899022141836681</v>
      </c>
      <c r="AE27" s="5">
        <f>AC27*AD27</f>
        <v>-3758143.5689538359</v>
      </c>
      <c r="AF27" cm="1">
        <f t="array" ref="AF27:AF33">N123:N129</f>
        <v>-6.2076423289603984</v>
      </c>
      <c r="AG27" s="5">
        <f t="shared" ref="AG27:AG33" si="7">AC27*AF27</f>
        <v>-1303379.0847388851</v>
      </c>
      <c r="AK27" cm="1">
        <f t="array" ref="AK27:AK33">N131:N137</f>
        <v>-12.917366163509556</v>
      </c>
      <c r="AL27" s="5">
        <f t="shared" ref="AL27:AL33" si="8">AK27*AV27</f>
        <v>-3178947.2024705377</v>
      </c>
      <c r="AO27" t="s">
        <v>7</v>
      </c>
      <c r="AP27" s="19">
        <f>AQ27/$AQ$34*100</f>
        <v>72.641178173593033</v>
      </c>
      <c r="AQ27">
        <f>AC27+AC29*AH29</f>
        <v>247910.41372115334</v>
      </c>
      <c r="AT27" t="s">
        <v>7</v>
      </c>
      <c r="AU27" s="19">
        <f>AV27/$AV$34*100</f>
        <v>84.646203123965293</v>
      </c>
      <c r="AV27">
        <f>AQ27-AT6</f>
        <v>246098.71410557278</v>
      </c>
      <c r="AX27" t="s">
        <v>7</v>
      </c>
      <c r="AY27" s="1">
        <v>99.99</v>
      </c>
      <c r="AZ27">
        <f>AY27/100*$AZ$34</f>
        <v>201810.48017978889</v>
      </c>
      <c r="BA27">
        <f>AZ27/AV27</f>
        <v>0.82003874304363544</v>
      </c>
    </row>
    <row r="28" spans="2:53" x14ac:dyDescent="0.2">
      <c r="C28" t="s">
        <v>8</v>
      </c>
      <c r="D28" s="1">
        <v>1</v>
      </c>
      <c r="E28">
        <f t="shared" si="5"/>
        <v>551.93428489649318</v>
      </c>
      <c r="G28">
        <v>9.0299095475672946</v>
      </c>
      <c r="H28">
        <f t="shared" si="6"/>
        <v>23365.142408868316</v>
      </c>
      <c r="J28" t="s">
        <v>8</v>
      </c>
      <c r="K28" s="19">
        <f t="shared" ref="K28:K33" si="9">L28/$L$34*100</f>
        <v>2.0472089791702759</v>
      </c>
      <c r="L28">
        <f>E28+AI59</f>
        <v>2587.5278468501392</v>
      </c>
      <c r="O28">
        <v>3.7626703402191102</v>
      </c>
      <c r="P28" s="5">
        <f t="shared" ref="P28:P32" si="10">T28*O28</f>
        <v>9736.0142838340344</v>
      </c>
      <c r="R28" t="s">
        <v>8</v>
      </c>
      <c r="S28" s="33">
        <f t="shared" ref="S28:S32" si="11">T28/$T$34*100</f>
        <v>0.94606520462282051</v>
      </c>
      <c r="T28">
        <f>L28</f>
        <v>2587.5278468501392</v>
      </c>
      <c r="U28">
        <v>18.616532342350759</v>
      </c>
      <c r="V28" s="5">
        <f t="shared" ref="V28:V33" si="12">T28*U28</f>
        <v>48170.795847618836</v>
      </c>
      <c r="W28" s="17" t="s">
        <v>79</v>
      </c>
      <c r="X28">
        <f>Z107*AC126</f>
        <v>-286012.51596035511</v>
      </c>
      <c r="Y28" s="6">
        <v>0.01</v>
      </c>
      <c r="AA28" t="s">
        <v>8</v>
      </c>
      <c r="AB28" s="34">
        <v>0.67479999999999996</v>
      </c>
      <c r="AC28">
        <f>AB28/100*$AC$34</f>
        <v>2594.6546802252788</v>
      </c>
      <c r="AD28">
        <v>-18.616532342350759</v>
      </c>
      <c r="AE28" s="5">
        <f t="shared" ref="AE28:AE33" si="13">AC28*AD28</f>
        <v>-48303.472771645669</v>
      </c>
      <c r="AF28">
        <v>-5.8595385566568021</v>
      </c>
      <c r="AG28" s="5">
        <f t="shared" si="7"/>
        <v>-15203.479139990046</v>
      </c>
      <c r="AK28">
        <v>-10.452251512685796</v>
      </c>
      <c r="AL28" s="5">
        <f t="shared" si="8"/>
        <v>-26779.140769089619</v>
      </c>
      <c r="AO28" t="s">
        <v>8</v>
      </c>
      <c r="AP28" s="19">
        <f t="shared" ref="AP28:AP31" si="14">AQ28/$AQ$34*100</f>
        <v>0.76026968813496554</v>
      </c>
      <c r="AQ28">
        <f>AC28</f>
        <v>2594.6546802252788</v>
      </c>
      <c r="AT28" t="s">
        <v>8</v>
      </c>
      <c r="AU28" s="19">
        <f t="shared" ref="AU28:AU33" si="15">AV28/$AV$34*100</f>
        <v>0.88122117504754516</v>
      </c>
      <c r="AV28">
        <f>AQ28-AT7</f>
        <v>2562.0451953904894</v>
      </c>
      <c r="AX28" t="s">
        <v>8</v>
      </c>
      <c r="AY28" s="1">
        <v>0.01</v>
      </c>
      <c r="AZ28">
        <f t="shared" ref="AZ28:AZ33" si="16">AY28/100*$AZ$34</f>
        <v>20.183066324611353</v>
      </c>
    </row>
    <row r="29" spans="2:53" x14ac:dyDescent="0.2">
      <c r="C29" t="s">
        <v>9</v>
      </c>
      <c r="D29" s="1">
        <v>0</v>
      </c>
      <c r="E29">
        <f t="shared" si="5"/>
        <v>0</v>
      </c>
      <c r="G29">
        <v>10.524393639686577</v>
      </c>
      <c r="H29">
        <f t="shared" si="6"/>
        <v>290733.73614441266</v>
      </c>
      <c r="J29" t="s">
        <v>9</v>
      </c>
      <c r="K29" s="19">
        <f t="shared" si="9"/>
        <v>21.856242028129291</v>
      </c>
      <c r="L29">
        <f t="shared" ref="L29:L33" si="17">E29+AI60</f>
        <v>27624.749329793303</v>
      </c>
      <c r="O29">
        <v>4.0133732821188897</v>
      </c>
      <c r="P29" s="5">
        <f t="shared" si="10"/>
        <v>110868.43088542415</v>
      </c>
      <c r="R29" t="s">
        <v>9</v>
      </c>
      <c r="S29" s="33">
        <f t="shared" si="11"/>
        <v>10.100302556805167</v>
      </c>
      <c r="T29">
        <f t="shared" ref="T29:T32" si="18">L29</f>
        <v>27624.749329793303</v>
      </c>
      <c r="U29">
        <v>19.303673824287412</v>
      </c>
      <c r="V29" s="5">
        <f t="shared" si="12"/>
        <v>533259.15054003219</v>
      </c>
      <c r="W29" s="17" t="s">
        <v>82</v>
      </c>
      <c r="X29" t="s">
        <v>113</v>
      </c>
      <c r="Y29" t="s">
        <v>123</v>
      </c>
      <c r="AA29" t="s">
        <v>9</v>
      </c>
      <c r="AB29" s="34">
        <v>19.0153</v>
      </c>
      <c r="AC29">
        <f t="shared" ref="AC29:AC33" si="19">AB29/100*$AC$34</f>
        <v>73115.200268061264</v>
      </c>
      <c r="AD29">
        <v>-19.303673824287412</v>
      </c>
      <c r="AE29" s="5">
        <f t="shared" si="13"/>
        <v>-1411391.9775721061</v>
      </c>
      <c r="AF29">
        <v>-6.2944433209515953</v>
      </c>
      <c r="AG29" s="5">
        <f t="shared" si="7"/>
        <v>-460219.48398733651</v>
      </c>
      <c r="AH29" s="48">
        <v>0.51900000000000002</v>
      </c>
      <c r="AI29" t="s">
        <v>195</v>
      </c>
      <c r="AK29">
        <v>-12.051072052355872</v>
      </c>
      <c r="AL29" s="5">
        <f t="shared" si="8"/>
        <v>-415704.71621375543</v>
      </c>
      <c r="AO29" t="s">
        <v>9</v>
      </c>
      <c r="AP29" s="19">
        <f t="shared" si="14"/>
        <v>10.304830664761916</v>
      </c>
      <c r="AQ29">
        <f>AC29*(1-AH29)</f>
        <v>35168.411328937465</v>
      </c>
      <c r="AT29" t="s">
        <v>9</v>
      </c>
      <c r="AU29" s="19">
        <f t="shared" si="15"/>
        <v>11.864717616568415</v>
      </c>
      <c r="AV29">
        <f>AQ29-AT8</f>
        <v>34495.247759512735</v>
      </c>
      <c r="AX29" t="s">
        <v>9</v>
      </c>
      <c r="AY29" s="1">
        <v>0</v>
      </c>
      <c r="AZ29">
        <f t="shared" si="16"/>
        <v>0</v>
      </c>
    </row>
    <row r="30" spans="2:53" x14ac:dyDescent="0.2">
      <c r="C30" t="s">
        <v>10</v>
      </c>
      <c r="D30" s="1">
        <v>0.5</v>
      </c>
      <c r="E30">
        <f t="shared" si="5"/>
        <v>275.96714244824659</v>
      </c>
      <c r="G30">
        <v>16.648488170542745</v>
      </c>
      <c r="H30">
        <f t="shared" si="6"/>
        <v>63275.54382601101</v>
      </c>
      <c r="J30" t="s">
        <v>10</v>
      </c>
      <c r="K30" s="19">
        <f t="shared" si="9"/>
        <v>3.0070332474431409</v>
      </c>
      <c r="L30">
        <f t="shared" si="17"/>
        <v>3800.678066250397</v>
      </c>
      <c r="O30">
        <v>6.5807519704037611</v>
      </c>
      <c r="P30" s="5">
        <f t="shared" si="10"/>
        <v>25011.319673347658</v>
      </c>
      <c r="R30" t="s">
        <v>10</v>
      </c>
      <c r="S30" s="33">
        <f>T30/$T$34*100</f>
        <v>1.3896234109440671</v>
      </c>
      <c r="T30">
        <f>L30</f>
        <v>3800.678066250397</v>
      </c>
      <c r="U30">
        <v>32.04493929151495</v>
      </c>
      <c r="V30" s="5">
        <f t="shared" si="12"/>
        <v>121792.49789958641</v>
      </c>
      <c r="W30" s="17" t="s">
        <v>83</v>
      </c>
      <c r="X30" s="5">
        <f>Z109*AC135</f>
        <v>834335.49976869603</v>
      </c>
      <c r="Y30" s="6">
        <v>0.05</v>
      </c>
      <c r="Z30" t="s">
        <v>270</v>
      </c>
      <c r="AA30" t="s">
        <v>10</v>
      </c>
      <c r="AB30" s="34">
        <v>3.5893000000000002</v>
      </c>
      <c r="AC30">
        <f t="shared" si="19"/>
        <v>13801.117432917299</v>
      </c>
      <c r="AD30">
        <v>-32.04493929151495</v>
      </c>
      <c r="AE30" s="5">
        <f t="shared" si="13"/>
        <v>-442255.97029290348</v>
      </c>
      <c r="AF30">
        <v>-10.280324859683002</v>
      </c>
      <c r="AG30" s="5">
        <f t="shared" si="7"/>
        <v>-141879.97063702418</v>
      </c>
      <c r="AK30">
        <v>-19.14310284268517</v>
      </c>
      <c r="AL30" s="5">
        <f t="shared" si="8"/>
        <v>-84255.20890059309</v>
      </c>
      <c r="AO30" t="s">
        <v>10</v>
      </c>
      <c r="AP30" s="19">
        <f t="shared" si="14"/>
        <v>15.162851896612775</v>
      </c>
      <c r="AQ30">
        <f>AC30+(AC29*AH29)</f>
        <v>51747.9063720411</v>
      </c>
      <c r="AS30" t="s">
        <v>191</v>
      </c>
      <c r="AT30" t="s">
        <v>10</v>
      </c>
      <c r="AU30" s="20">
        <v>1.5</v>
      </c>
      <c r="AV30">
        <f>SUM(AQ27:AQ29,AQ31:AQ32)/(1-(AU30/100))*(AU30/100)</f>
        <v>4401.3350183085968</v>
      </c>
      <c r="AX30" t="s">
        <v>10</v>
      </c>
      <c r="AY30" s="1">
        <v>0</v>
      </c>
      <c r="AZ30">
        <f t="shared" si="16"/>
        <v>0</v>
      </c>
    </row>
    <row r="31" spans="2:53" x14ac:dyDescent="0.2">
      <c r="B31">
        <v>74</v>
      </c>
      <c r="C31" t="s">
        <v>11</v>
      </c>
      <c r="D31" s="1">
        <v>95</v>
      </c>
      <c r="E31">
        <f>($A$34)*($D$34*D31/100*1000)/($E$24*$B$34)</f>
        <v>52433.757065166858</v>
      </c>
      <c r="G31">
        <v>14.130909209883855</v>
      </c>
      <c r="H31">
        <f t="shared" si="6"/>
        <v>776930.81414293766</v>
      </c>
      <c r="J31" t="s">
        <v>11</v>
      </c>
      <c r="K31" s="19">
        <f t="shared" si="9"/>
        <v>43.500012904603146</v>
      </c>
      <c r="L31">
        <f>E31+AI62</f>
        <v>54980.950100472932</v>
      </c>
      <c r="O31">
        <v>7.3660902678144407</v>
      </c>
      <c r="P31" s="5">
        <f t="shared" si="10"/>
        <v>404994.64145028504</v>
      </c>
      <c r="R31" t="s">
        <v>11</v>
      </c>
      <c r="S31" s="33">
        <f t="shared" si="11"/>
        <v>20.102417011851998</v>
      </c>
      <c r="T31">
        <f>L31</f>
        <v>54980.950100472932</v>
      </c>
      <c r="U31">
        <v>42.380994362607822</v>
      </c>
      <c r="V31" s="5">
        <f t="shared" si="12"/>
        <v>2330147.3362589651</v>
      </c>
      <c r="W31" s="1"/>
      <c r="Y31" t="s">
        <v>224</v>
      </c>
      <c r="Z31" s="47">
        <v>0.94799999999999995</v>
      </c>
      <c r="AA31" t="s">
        <v>11</v>
      </c>
      <c r="AB31" s="34">
        <v>0.87060000000000004</v>
      </c>
      <c r="AC31">
        <f t="shared" si="19"/>
        <v>3347.5198052817541</v>
      </c>
      <c r="AD31">
        <v>-42.380994362607822</v>
      </c>
      <c r="AE31" s="5">
        <f t="shared" si="13"/>
        <v>-141871.21799636405</v>
      </c>
      <c r="AF31">
        <v>-11.183193806483354</v>
      </c>
      <c r="AG31" s="5">
        <f t="shared" si="7"/>
        <v>-37435.962753507272</v>
      </c>
      <c r="AK31">
        <v>-16.844384915198077</v>
      </c>
      <c r="AL31" s="5">
        <f t="shared" si="8"/>
        <v>-53576.944033268737</v>
      </c>
      <c r="AO31" t="s">
        <v>11</v>
      </c>
      <c r="AP31" s="19">
        <f t="shared" si="14"/>
        <v>0.98086957689730436</v>
      </c>
      <c r="AQ31">
        <f>AC31</f>
        <v>3347.5198052817541</v>
      </c>
      <c r="AS31" s="19"/>
      <c r="AT31" t="s">
        <v>11</v>
      </c>
      <c r="AU31" s="19">
        <f t="shared" si="15"/>
        <v>1.0940090611501854</v>
      </c>
      <c r="AV31">
        <f>AQ31-AT10</f>
        <v>3180.7005303546707</v>
      </c>
      <c r="AX31" t="s">
        <v>11</v>
      </c>
      <c r="AY31" s="1">
        <v>0</v>
      </c>
      <c r="AZ31">
        <f t="shared" si="16"/>
        <v>0</v>
      </c>
    </row>
    <row r="32" spans="2:53" x14ac:dyDescent="0.2">
      <c r="C32" t="s">
        <v>12</v>
      </c>
      <c r="D32" s="1">
        <v>3.5</v>
      </c>
      <c r="E32">
        <f t="shared" si="5"/>
        <v>1931.7699971377263</v>
      </c>
      <c r="G32">
        <v>14.130909209883855</v>
      </c>
      <c r="H32">
        <f t="shared" si="6"/>
        <v>27297.666443930804</v>
      </c>
      <c r="J32" t="s">
        <v>12</v>
      </c>
      <c r="K32" s="19">
        <f t="shared" si="9"/>
        <v>1.5283842794759825</v>
      </c>
      <c r="L32">
        <f t="shared" si="17"/>
        <v>1931.7699971377263</v>
      </c>
      <c r="O32">
        <v>7.3660902678144407</v>
      </c>
      <c r="P32" s="5">
        <f t="shared" si="10"/>
        <v>14229.592175572136</v>
      </c>
      <c r="R32" t="s">
        <v>12</v>
      </c>
      <c r="S32" s="33">
        <f t="shared" si="11"/>
        <v>0.70630365576590282</v>
      </c>
      <c r="T32">
        <f t="shared" si="18"/>
        <v>1931.7699971377263</v>
      </c>
      <c r="U32">
        <v>42.380994362607822</v>
      </c>
      <c r="V32" s="5">
        <f t="shared" si="12"/>
        <v>81870.333358548902</v>
      </c>
      <c r="W32" s="1"/>
      <c r="Y32" s="38">
        <v>0</v>
      </c>
      <c r="AA32" t="s">
        <v>12</v>
      </c>
      <c r="AB32" s="34">
        <v>0</v>
      </c>
      <c r="AC32">
        <f t="shared" si="19"/>
        <v>0</v>
      </c>
      <c r="AD32">
        <v>-42.380994362607822</v>
      </c>
      <c r="AE32" s="5">
        <f t="shared" si="13"/>
        <v>0</v>
      </c>
      <c r="AF32">
        <v>-11.183193806483354</v>
      </c>
      <c r="AG32" s="5">
        <f t="shared" si="7"/>
        <v>0</v>
      </c>
      <c r="AK32">
        <v>-16.844384915198077</v>
      </c>
      <c r="AL32" s="5">
        <f t="shared" si="8"/>
        <v>0</v>
      </c>
      <c r="AO32" t="s">
        <v>12</v>
      </c>
      <c r="AP32" s="19">
        <f>AQ32/$AQ$34*100</f>
        <v>0</v>
      </c>
      <c r="AQ32">
        <f>AC32</f>
        <v>0</v>
      </c>
      <c r="AT32" t="s">
        <v>12</v>
      </c>
      <c r="AU32" s="19">
        <f t="shared" si="15"/>
        <v>0</v>
      </c>
      <c r="AV32">
        <f>AQ32-AT11</f>
        <v>0</v>
      </c>
      <c r="AX32" t="s">
        <v>12</v>
      </c>
      <c r="AY32" s="1">
        <v>0</v>
      </c>
      <c r="AZ32">
        <f t="shared" si="16"/>
        <v>0</v>
      </c>
    </row>
    <row r="33" spans="1:52" x14ac:dyDescent="0.2">
      <c r="A33" t="s">
        <v>197</v>
      </c>
      <c r="B33" t="s">
        <v>108</v>
      </c>
      <c r="C33" t="s">
        <v>13</v>
      </c>
      <c r="D33" s="1">
        <v>0</v>
      </c>
      <c r="E33">
        <f t="shared" si="5"/>
        <v>0</v>
      </c>
      <c r="G33">
        <v>12.671218017974889</v>
      </c>
      <c r="H33">
        <f t="shared" si="6"/>
        <v>0</v>
      </c>
      <c r="J33" t="s">
        <v>13</v>
      </c>
      <c r="K33" s="19">
        <f t="shared" si="9"/>
        <v>0</v>
      </c>
      <c r="L33">
        <f t="shared" si="17"/>
        <v>0</v>
      </c>
      <c r="O33">
        <v>4.8794395387115959</v>
      </c>
      <c r="P33" s="5">
        <f>T33*O33</f>
        <v>717820.32900909532</v>
      </c>
      <c r="R33" t="s">
        <v>13</v>
      </c>
      <c r="S33" s="33">
        <f>T33/$T$34*100</f>
        <v>53.78756080845951</v>
      </c>
      <c r="T33">
        <f>(T31+2*T32)*M21</f>
        <v>147111.22523687096</v>
      </c>
      <c r="U33">
        <v>24.432107791175742</v>
      </c>
      <c r="V33" s="5">
        <f t="shared" si="12"/>
        <v>3594237.3122791643</v>
      </c>
      <c r="W33" s="1"/>
      <c r="Z33" t="s">
        <v>271</v>
      </c>
      <c r="AA33" t="s">
        <v>13</v>
      </c>
      <c r="AB33" s="34">
        <v>21.227499999999999</v>
      </c>
      <c r="AC33">
        <f t="shared" si="19"/>
        <v>81621.268856671755</v>
      </c>
      <c r="AD33">
        <v>-24.432107791175742</v>
      </c>
      <c r="AE33" s="5">
        <f t="shared" si="13"/>
        <v>-1994179.6387587399</v>
      </c>
      <c r="AF33">
        <v>-7.633496193591319</v>
      </c>
      <c r="AG33" s="5">
        <f t="shared" si="7"/>
        <v>-623055.64513349754</v>
      </c>
      <c r="AK33">
        <v>-14.521697404151334</v>
      </c>
      <c r="AL33" s="5">
        <f t="shared" si="8"/>
        <v>0</v>
      </c>
      <c r="AO33" t="s">
        <v>13</v>
      </c>
      <c r="AP33" s="1">
        <v>0.15</v>
      </c>
      <c r="AQ33">
        <f>SUM(AQ27:AQ32)/(1-(AP33/100))*(AP33/100)</f>
        <v>511.92124072254222</v>
      </c>
      <c r="AT33" t="s">
        <v>13</v>
      </c>
      <c r="AU33" s="19">
        <f t="shared" si="15"/>
        <v>0</v>
      </c>
      <c r="AV33">
        <f>AQ33-AT12</f>
        <v>0</v>
      </c>
      <c r="AX33" t="s">
        <v>13</v>
      </c>
      <c r="AY33" s="1">
        <v>0</v>
      </c>
      <c r="AZ33">
        <f t="shared" si="16"/>
        <v>0</v>
      </c>
    </row>
    <row r="34" spans="1:52" x14ac:dyDescent="0.2">
      <c r="A34">
        <v>1</v>
      </c>
      <c r="B34">
        <v>298</v>
      </c>
      <c r="C34" t="s">
        <v>14</v>
      </c>
      <c r="D34" s="45">
        <v>1367.4569300995747</v>
      </c>
      <c r="E34">
        <f>($A$34)*($D$34*1000)/($E$24*$B$34)</f>
        <v>55193.428489649319</v>
      </c>
      <c r="J34" t="s">
        <v>14</v>
      </c>
      <c r="K34" s="9">
        <f>L34*$E$24*$B$34/$A$34/1000</f>
        <v>3131.4763699280256</v>
      </c>
      <c r="L34">
        <f>E34+AI65</f>
        <v>126392.95124129693</v>
      </c>
      <c r="R34" t="s">
        <v>14</v>
      </c>
      <c r="S34" s="9">
        <f>T34*$E$24*$B$34/$A$34/1000</f>
        <v>6776.2628952536743</v>
      </c>
      <c r="T34">
        <f>SUM(T27:T33)</f>
        <v>273504.17647816788</v>
      </c>
      <c r="U34" s="51" cm="1">
        <f t="array" ref="U34">SUMPRODUCT(S27:S33/100,_xlfn.ANCHORARRAY(U27))</f>
        <v>26.852631932035891</v>
      </c>
      <c r="Z34" s="13">
        <v>1.4058550000000001</v>
      </c>
      <c r="AA34" t="s">
        <v>14</v>
      </c>
      <c r="AB34" s="9">
        <f>AC34*$E$24*$B$34/$A$34/1000</f>
        <v>9526.4430726068549</v>
      </c>
      <c r="AC34">
        <f>T34*Z34</f>
        <v>384507.2140227147</v>
      </c>
      <c r="AD34" s="51" cm="1">
        <f t="array" ref="AD34">SUMPRODUCT(AB27:AB33/100,_xlfn.ANCHORARRAY(AD27))</f>
        <v>-20.275681604988144</v>
      </c>
      <c r="AF34" t="s">
        <v>116</v>
      </c>
      <c r="AK34" t="s">
        <v>116</v>
      </c>
      <c r="AL34" s="23">
        <f>SUM(AL27:AL33)</f>
        <v>-3759263.2123872447</v>
      </c>
      <c r="AO34" t="s">
        <v>14</v>
      </c>
      <c r="AP34" s="9">
        <f>AQ34*$E$24*$B$34/$A$34/1000</f>
        <v>8455.4782147962014</v>
      </c>
      <c r="AQ34">
        <f>SUM(AQ27:AQ33)</f>
        <v>341280.82714836148</v>
      </c>
      <c r="AT34" t="s">
        <v>14</v>
      </c>
      <c r="AU34" s="9">
        <f>AV34*$E$24*$B$34/$A$34/1000</f>
        <v>7203.2443370321062</v>
      </c>
      <c r="AV34">
        <f>SUM(AV27:AV33)</f>
        <v>290738.04260913929</v>
      </c>
      <c r="AX34" t="s">
        <v>14</v>
      </c>
      <c r="AY34" s="1">
        <v>5000.5</v>
      </c>
      <c r="AZ34">
        <f>($A$34)*($AY$34*1000)/($E$24*$B$34)</f>
        <v>201830.66324611352</v>
      </c>
    </row>
    <row r="35" spans="1:52" x14ac:dyDescent="0.2">
      <c r="C35" t="s">
        <v>15</v>
      </c>
      <c r="D35" s="1">
        <v>20</v>
      </c>
      <c r="J35" t="s">
        <v>15</v>
      </c>
      <c r="K35" s="1">
        <v>390</v>
      </c>
      <c r="R35" t="s">
        <v>15</v>
      </c>
      <c r="S35" s="1">
        <v>520</v>
      </c>
      <c r="X35" s="5">
        <f>T31*X36*Z31</f>
        <v>12185067.295735156</v>
      </c>
      <c r="AA35" t="s">
        <v>15</v>
      </c>
      <c r="AB35" s="1">
        <v>1100</v>
      </c>
      <c r="AF35" cm="1">
        <f t="array" ref="AF35">SUMPRODUCT(AB27:AB33/100,_xlfn.ANCHORARRAY(AF27))</f>
        <v>-6.7129393994614572</v>
      </c>
      <c r="AL35" s="5"/>
      <c r="AO35" t="s">
        <v>15</v>
      </c>
      <c r="AP35" s="1">
        <v>20</v>
      </c>
      <c r="AT35" t="s">
        <v>15</v>
      </c>
      <c r="AU35" s="1">
        <v>20</v>
      </c>
      <c r="AX35" t="s">
        <v>15</v>
      </c>
      <c r="AY35" s="1">
        <v>20</v>
      </c>
    </row>
    <row r="36" spans="1:52" x14ac:dyDescent="0.2">
      <c r="C36" t="s">
        <v>16</v>
      </c>
      <c r="D36" s="20">
        <v>5.4</v>
      </c>
      <c r="J36" t="s">
        <v>16</v>
      </c>
      <c r="K36" s="20">
        <v>5.3</v>
      </c>
      <c r="R36" t="s">
        <v>16</v>
      </c>
      <c r="S36" s="20">
        <v>5.3</v>
      </c>
      <c r="U36">
        <f>U34*T34</f>
        <v>7344306.98284283</v>
      </c>
      <c r="X36">
        <v>233.78</v>
      </c>
      <c r="AA36" t="s">
        <v>16</v>
      </c>
      <c r="AB36" s="20">
        <v>5.0999999999999996</v>
      </c>
      <c r="AF36">
        <f>AF35*AC34</f>
        <v>-2581173.6263902406</v>
      </c>
      <c r="AO36" t="s">
        <v>16</v>
      </c>
      <c r="AP36" s="20">
        <v>5</v>
      </c>
      <c r="AT36" t="s">
        <v>16</v>
      </c>
      <c r="AU36" s="20">
        <v>5</v>
      </c>
      <c r="AX36" t="s">
        <v>16</v>
      </c>
      <c r="AY36" s="1">
        <v>4.9000000000000004</v>
      </c>
    </row>
    <row r="37" spans="1:52" x14ac:dyDescent="0.2">
      <c r="H37" s="23">
        <f>SUM(H27:H33)</f>
        <v>1586380.159913861</v>
      </c>
      <c r="J37" t="s">
        <v>116</v>
      </c>
      <c r="P37" s="23">
        <f>SUM(P27:P33)</f>
        <v>1421407.4372108569</v>
      </c>
      <c r="R37" t="s">
        <v>116</v>
      </c>
      <c r="V37" s="23">
        <f>SUM(V27:V33)</f>
        <v>7344306.9828428291</v>
      </c>
      <c r="X37" s="23">
        <f>SUM(X27:X28,X30)</f>
        <v>12588867.910125226</v>
      </c>
      <c r="Y37" s="23">
        <f>SUM(P37,V37,X37)/(1-(Y32))*Y32</f>
        <v>0</v>
      </c>
      <c r="AE37" s="23">
        <f>SUM(AE27:AE33)</f>
        <v>-7796145.846345596</v>
      </c>
      <c r="AG37" s="23">
        <f>SUM(AG27:AG33)</f>
        <v>-2581173.6263902406</v>
      </c>
    </row>
    <row r="38" spans="1:52" x14ac:dyDescent="0.2">
      <c r="H38">
        <v>1311383.5597655312</v>
      </c>
    </row>
    <row r="39" spans="1:52" x14ac:dyDescent="0.2">
      <c r="D39">
        <f>AV23-BA27</f>
        <v>-3.8743043635491858E-5</v>
      </c>
      <c r="K39" t="s">
        <v>314</v>
      </c>
      <c r="S39" s="24"/>
      <c r="T39" s="24"/>
      <c r="U39" s="27" t="s">
        <v>185</v>
      </c>
      <c r="V39" s="26"/>
      <c r="W39" s="24"/>
      <c r="X39" s="24"/>
    </row>
    <row r="40" spans="1:52" x14ac:dyDescent="0.2">
      <c r="D40">
        <f>(E31-AY63)*4+E32*7-AY61-(AZ27+AT6+AY59)</f>
        <v>1409.6936573568382</v>
      </c>
      <c r="S40" s="24"/>
      <c r="T40" s="24"/>
      <c r="U40" s="29" t="s">
        <v>166</v>
      </c>
      <c r="V40" s="24" t="s">
        <v>167</v>
      </c>
      <c r="W40" s="24"/>
      <c r="X40" s="24"/>
    </row>
    <row r="41" spans="1:52" x14ac:dyDescent="0.2">
      <c r="S41" s="24"/>
      <c r="T41" s="24"/>
      <c r="U41" s="29"/>
      <c r="V41" s="24"/>
      <c r="W41" s="24"/>
      <c r="X41" s="24"/>
      <c r="AG41" s="37" t="s">
        <v>212</v>
      </c>
      <c r="AT41" t="s">
        <v>198</v>
      </c>
      <c r="AU41" t="s">
        <v>132</v>
      </c>
      <c r="AW41" t="s">
        <v>0</v>
      </c>
      <c r="AX41" t="s">
        <v>198</v>
      </c>
      <c r="AY41" t="s">
        <v>132</v>
      </c>
    </row>
    <row r="42" spans="1:52" x14ac:dyDescent="0.2">
      <c r="E42">
        <f>E30+E31+E32*2</f>
        <v>56573.264201890554</v>
      </c>
      <c r="S42" s="24" t="s">
        <v>217</v>
      </c>
      <c r="T42" s="24"/>
      <c r="U42" s="29">
        <f>-AA45</f>
        <v>-12588867.910125226</v>
      </c>
      <c r="V42" s="24"/>
      <c r="W42" s="24"/>
      <c r="X42" s="24"/>
      <c r="Y42" s="5">
        <f>SUM(U42:U43,V47,V55)</f>
        <v>-12588867.910125226</v>
      </c>
      <c r="AG42" s="21"/>
      <c r="AH42" s="21" t="s">
        <v>208</v>
      </c>
      <c r="AI42" s="21" t="s">
        <v>149</v>
      </c>
      <c r="AJ42" s="21" t="s">
        <v>139</v>
      </c>
      <c r="AL42" s="1"/>
      <c r="AM42" s="1"/>
      <c r="AN42" s="5"/>
      <c r="AT42" s="13">
        <v>49.813923647362749</v>
      </c>
      <c r="AU42">
        <f t="shared" ref="AU42:AU48" si="20">AT42/100*$AU$49</f>
        <v>44288.282885134373</v>
      </c>
      <c r="AW42" t="s">
        <v>7</v>
      </c>
      <c r="AX42">
        <f t="shared" ref="AX42:AX48" si="21">AY42/$AY$49*100</f>
        <v>49.813900986718537</v>
      </c>
      <c r="AY42">
        <f t="shared" ref="AY42:AY47" si="22">AV27-AZ27</f>
        <v>44288.23392578389</v>
      </c>
    </row>
    <row r="43" spans="1:52" x14ac:dyDescent="0.2">
      <c r="E43">
        <f>SUM(AT9,AT8,AY61,AY62,AY63)</f>
        <v>56400.373313367214</v>
      </c>
      <c r="S43" s="24" t="s">
        <v>227</v>
      </c>
      <c r="T43" s="24"/>
      <c r="U43" s="31">
        <v>0</v>
      </c>
      <c r="V43" s="24"/>
      <c r="W43" s="24"/>
      <c r="X43" s="24"/>
      <c r="Y43" s="5"/>
      <c r="AG43" s="21" t="s">
        <v>209</v>
      </c>
      <c r="AH43" s="21">
        <f>AQ29-AC29</f>
        <v>-37946.788939123799</v>
      </c>
      <c r="AI43" s="21" cm="1">
        <f t="array" ref="AI43:AI49">N139:N145</f>
        <v>3.8003365836004184</v>
      </c>
      <c r="AJ43" s="21">
        <f t="shared" ref="AJ43:AJ49" si="23">AI43*AQ27</f>
        <v>942143.01472001418</v>
      </c>
      <c r="AL43" s="1"/>
      <c r="AM43" s="1"/>
      <c r="AN43" s="5"/>
      <c r="AT43" s="13">
        <v>2.8589988855038224</v>
      </c>
      <c r="AU43">
        <f t="shared" si="20"/>
        <v>2541.8626387640661</v>
      </c>
      <c r="AW43" t="s">
        <v>8</v>
      </c>
      <c r="AX43">
        <f t="shared" si="21"/>
        <v>2.8590001721757767</v>
      </c>
      <c r="AY43">
        <f t="shared" si="22"/>
        <v>2541.862129065878</v>
      </c>
    </row>
    <row r="44" spans="1:52" x14ac:dyDescent="0.2">
      <c r="Q44" s="5"/>
      <c r="S44" s="24" t="s">
        <v>223</v>
      </c>
      <c r="T44" s="24"/>
      <c r="U44" s="41"/>
      <c r="V44" s="42">
        <f>P37</f>
        <v>1421407.4372108569</v>
      </c>
      <c r="W44" s="24"/>
      <c r="X44" s="24"/>
      <c r="Z44" t="s">
        <v>193</v>
      </c>
      <c r="AG44" s="21" t="s">
        <v>210</v>
      </c>
      <c r="AH44" s="21">
        <f>AC141</f>
        <v>-35.78596284711255</v>
      </c>
      <c r="AI44" s="21">
        <v>3.5192101815561934</v>
      </c>
      <c r="AJ44" s="21">
        <f t="shared" si="23"/>
        <v>9131.1351682712302</v>
      </c>
      <c r="AL44" s="1"/>
      <c r="AM44" s="1"/>
      <c r="AN44" s="5"/>
      <c r="AT44" s="13">
        <v>38.799065305748897</v>
      </c>
      <c r="AU44">
        <f t="shared" si="20"/>
        <v>34495.254622063534</v>
      </c>
      <c r="AW44" t="s">
        <v>9</v>
      </c>
      <c r="AX44">
        <f t="shared" si="21"/>
        <v>38.799082828279154</v>
      </c>
      <c r="AY44">
        <f t="shared" si="22"/>
        <v>34495.247759512735</v>
      </c>
    </row>
    <row r="45" spans="1:52" x14ac:dyDescent="0.2">
      <c r="M45" s="3"/>
      <c r="P45" t="s">
        <v>228</v>
      </c>
      <c r="Q45" s="5">
        <f>U52+V53+V54</f>
        <v>0</v>
      </c>
      <c r="S45" s="24" t="s">
        <v>281</v>
      </c>
      <c r="T45" s="24"/>
      <c r="U45" s="41"/>
      <c r="V45" s="42">
        <f>V37</f>
        <v>7344306.9828428291</v>
      </c>
      <c r="W45" s="24"/>
      <c r="X45" s="24"/>
      <c r="Z45" t="s">
        <v>207</v>
      </c>
      <c r="AA45" s="23">
        <f>X37+Y37</f>
        <v>12588867.910125226</v>
      </c>
      <c r="AG45" s="21" t="s">
        <v>211</v>
      </c>
      <c r="AH45" s="21">
        <f>-AH43*AH44</f>
        <v>-1357962.3791427058</v>
      </c>
      <c r="AI45" s="21">
        <v>3.8077484515020008</v>
      </c>
      <c r="AJ45" s="21">
        <f t="shared" si="23"/>
        <v>133912.46377954705</v>
      </c>
      <c r="AK45" s="17"/>
      <c r="AL45" s="1"/>
      <c r="AM45" s="1"/>
      <c r="AN45" s="9"/>
      <c r="AT45" s="13">
        <v>4.950469873368057</v>
      </c>
      <c r="AU45">
        <f t="shared" si="20"/>
        <v>4401.3358939186328</v>
      </c>
      <c r="AW45" t="s">
        <v>10</v>
      </c>
      <c r="AX45">
        <f t="shared" si="21"/>
        <v>4.9504721091115584</v>
      </c>
      <c r="AY45">
        <f t="shared" si="22"/>
        <v>4401.3350183085968</v>
      </c>
    </row>
    <row r="46" spans="1:52" x14ac:dyDescent="0.2">
      <c r="Q46" s="5"/>
      <c r="S46" s="24" t="s">
        <v>172</v>
      </c>
      <c r="T46" s="24"/>
      <c r="U46" s="41"/>
      <c r="V46" s="42">
        <f>X37</f>
        <v>12588867.910125226</v>
      </c>
      <c r="W46" s="24"/>
      <c r="X46" s="24"/>
      <c r="AA46" s="5"/>
      <c r="AG46" s="21"/>
      <c r="AH46" s="21"/>
      <c r="AI46" s="21">
        <v>6.1941875614216677</v>
      </c>
      <c r="AJ46" s="21">
        <f t="shared" si="23"/>
        <v>320536.23797931004</v>
      </c>
      <c r="AL46" s="1"/>
      <c r="AM46" s="1"/>
      <c r="AT46" s="13">
        <v>3.5775422880164354</v>
      </c>
      <c r="AU46">
        <f t="shared" si="20"/>
        <v>3180.7011631293385</v>
      </c>
      <c r="AW46" t="s">
        <v>11</v>
      </c>
      <c r="AX46">
        <f t="shared" si="21"/>
        <v>3.5775439037149712</v>
      </c>
      <c r="AY46">
        <f t="shared" si="22"/>
        <v>3180.7005303546707</v>
      </c>
    </row>
    <row r="47" spans="1:52" x14ac:dyDescent="0.2">
      <c r="E47" s="36"/>
      <c r="P47" t="s">
        <v>219</v>
      </c>
      <c r="Q47" s="5">
        <f>V44+U50+V51</f>
        <v>0</v>
      </c>
      <c r="S47" s="24" t="s">
        <v>119</v>
      </c>
      <c r="T47" s="24"/>
      <c r="U47" s="41"/>
      <c r="V47" s="42">
        <f>Y37</f>
        <v>0</v>
      </c>
      <c r="W47" s="24"/>
      <c r="X47" s="24"/>
      <c r="AG47" s="21"/>
      <c r="AH47" s="21"/>
      <c r="AI47" s="21">
        <v>6.5305792439831336</v>
      </c>
      <c r="AJ47" s="21">
        <f t="shared" si="23"/>
        <v>21861.243359195483</v>
      </c>
      <c r="AL47" s="1"/>
      <c r="AM47" s="1"/>
      <c r="AT47" s="13">
        <v>0</v>
      </c>
      <c r="AU47">
        <f t="shared" si="20"/>
        <v>0</v>
      </c>
      <c r="AW47" t="s">
        <v>12</v>
      </c>
      <c r="AX47">
        <f t="shared" si="21"/>
        <v>0</v>
      </c>
      <c r="AY47">
        <f t="shared" si="22"/>
        <v>0</v>
      </c>
    </row>
    <row r="48" spans="1:52" x14ac:dyDescent="0.2">
      <c r="P48" t="s">
        <v>283</v>
      </c>
      <c r="Q48" s="5">
        <f>V45+U48+V49</f>
        <v>0</v>
      </c>
      <c r="S48" s="24" t="s">
        <v>282</v>
      </c>
      <c r="T48" s="24"/>
      <c r="U48" s="31">
        <f>AE37</f>
        <v>-7796145.846345596</v>
      </c>
      <c r="V48" s="24"/>
      <c r="W48" s="24"/>
      <c r="X48" s="24"/>
      <c r="AG48" s="21"/>
      <c r="AH48" s="21"/>
      <c r="AI48" s="21">
        <v>6.5305792439831336</v>
      </c>
      <c r="AJ48" s="21">
        <f t="shared" si="23"/>
        <v>0</v>
      </c>
      <c r="AL48" s="1"/>
      <c r="AM48" s="1"/>
      <c r="AN48" s="22"/>
      <c r="AT48" s="13">
        <v>0</v>
      </c>
      <c r="AU48">
        <f t="shared" si="20"/>
        <v>0</v>
      </c>
      <c r="AW48" t="s">
        <v>13</v>
      </c>
      <c r="AX48">
        <f t="shared" si="21"/>
        <v>0</v>
      </c>
      <c r="AY48">
        <f t="shared" ref="AY48" si="24">AV33-AZ33</f>
        <v>0</v>
      </c>
    </row>
    <row r="49" spans="19:61" x14ac:dyDescent="0.2">
      <c r="S49" s="24" t="s">
        <v>319</v>
      </c>
      <c r="T49" s="24"/>
      <c r="U49" s="29"/>
      <c r="V49" s="23">
        <f>-U48-V45</f>
        <v>451838.86350276694</v>
      </c>
      <c r="W49" s="24"/>
      <c r="X49" s="24"/>
      <c r="AG49" s="21"/>
      <c r="AH49" s="21"/>
      <c r="AI49" s="21">
        <v>4.6045360410561669</v>
      </c>
      <c r="AJ49" s="21">
        <f t="shared" si="23"/>
        <v>2357.1598030891355</v>
      </c>
      <c r="AT49" s="13">
        <v>2202.7457700593586</v>
      </c>
      <c r="AU49">
        <f>$A$34*AT49*1000/(E24*B34)</f>
        <v>88907.437203009977</v>
      </c>
      <c r="AV49" s="19"/>
      <c r="AW49" t="s">
        <v>14</v>
      </c>
      <c r="AX49" s="5">
        <f>AU34-AY34-AK68</f>
        <v>2202.7443370321062</v>
      </c>
      <c r="AY49">
        <f>AV34-AZ34</f>
        <v>88907.379363025771</v>
      </c>
      <c r="BI49" s="17"/>
    </row>
    <row r="50" spans="19:61" x14ac:dyDescent="0.2">
      <c r="S50" s="24" t="s">
        <v>220</v>
      </c>
      <c r="T50" s="24"/>
      <c r="U50" s="43">
        <f>AG37</f>
        <v>-2581173.6263902406</v>
      </c>
      <c r="V50" s="44"/>
      <c r="W50" s="24"/>
      <c r="X50" s="24"/>
      <c r="AG50" s="21"/>
      <c r="AH50" s="21">
        <f>AH45+AJ50</f>
        <v>71978.875666721491</v>
      </c>
      <c r="AI50" s="21" t="s">
        <v>116</v>
      </c>
      <c r="AJ50" s="21">
        <f>SUM(AJ43:AJ49)</f>
        <v>1429941.2548094273</v>
      </c>
      <c r="AW50" t="s">
        <v>15</v>
      </c>
      <c r="AX50" s="1">
        <f>AU35</f>
        <v>20</v>
      </c>
      <c r="BH50" s="5"/>
    </row>
    <row r="51" spans="19:61" x14ac:dyDescent="0.2">
      <c r="S51" s="24" t="s">
        <v>285</v>
      </c>
      <c r="T51" s="24"/>
      <c r="U51" s="29"/>
      <c r="V51" s="23">
        <f>-U50-V44</f>
        <v>1159766.1891793837</v>
      </c>
      <c r="W51" s="24"/>
      <c r="X51" s="24"/>
      <c r="AW51" t="s">
        <v>16</v>
      </c>
      <c r="AX51" s="1">
        <v>0.1</v>
      </c>
      <c r="BH51" s="5"/>
    </row>
    <row r="52" spans="19:61" x14ac:dyDescent="0.2">
      <c r="S52" s="24" t="s">
        <v>221</v>
      </c>
      <c r="T52" s="24"/>
      <c r="U52" s="43">
        <f>AL34</f>
        <v>-3759263.2123872447</v>
      </c>
      <c r="V52" s="44"/>
      <c r="W52" s="24"/>
      <c r="X52" s="24"/>
      <c r="BH52" s="5"/>
    </row>
    <row r="53" spans="19:61" x14ac:dyDescent="0.2">
      <c r="S53" s="24" t="s">
        <v>222</v>
      </c>
      <c r="T53" s="24"/>
      <c r="U53" s="41"/>
      <c r="V53" s="42">
        <f>H37</f>
        <v>1586380.159913861</v>
      </c>
      <c r="W53" s="24"/>
      <c r="X53" s="24"/>
      <c r="Z53" s="5"/>
      <c r="AK53" s="4"/>
      <c r="AL53" s="4"/>
      <c r="AM53" s="4"/>
      <c r="BH53" s="5"/>
    </row>
    <row r="54" spans="19:61" x14ac:dyDescent="0.2">
      <c r="S54" s="24" t="s">
        <v>284</v>
      </c>
      <c r="T54" s="24"/>
      <c r="U54" s="29"/>
      <c r="V54" s="23">
        <f>-U52-V53</f>
        <v>2172883.052473384</v>
      </c>
      <c r="W54" s="24"/>
      <c r="X54" s="24"/>
      <c r="AH54" t="s">
        <v>203</v>
      </c>
      <c r="BH54" s="5"/>
    </row>
    <row r="55" spans="19:61" x14ac:dyDescent="0.2">
      <c r="S55" s="24" t="s">
        <v>318</v>
      </c>
      <c r="T55" s="24"/>
      <c r="U55" s="29"/>
      <c r="V55" s="50">
        <v>0</v>
      </c>
      <c r="W55" s="24"/>
      <c r="X55" s="32">
        <f>X56/U56</f>
        <v>0</v>
      </c>
      <c r="AH55" s="13">
        <v>1.29</v>
      </c>
      <c r="BH55" s="5"/>
    </row>
    <row r="56" spans="19:61" x14ac:dyDescent="0.2">
      <c r="S56" s="24" t="s">
        <v>116</v>
      </c>
      <c r="T56" s="24"/>
      <c r="U56" s="29">
        <f>SUM(U42:U54)</f>
        <v>-26725450.595248308</v>
      </c>
      <c r="V56" s="23">
        <f>SUM(V42:V54)</f>
        <v>26725450.595248308</v>
      </c>
      <c r="W56" s="24" t="s">
        <v>183</v>
      </c>
      <c r="X56" s="23">
        <f>SUM(U56:V56)</f>
        <v>0</v>
      </c>
      <c r="BH56" s="5"/>
    </row>
    <row r="57" spans="19:61" x14ac:dyDescent="0.2">
      <c r="AG57" t="s">
        <v>0</v>
      </c>
      <c r="AH57" t="s">
        <v>202</v>
      </c>
      <c r="AI57" t="s">
        <v>132</v>
      </c>
      <c r="AW57" s="6"/>
    </row>
    <row r="58" spans="19:61" x14ac:dyDescent="0.2">
      <c r="AG58" t="s">
        <v>7</v>
      </c>
      <c r="AH58">
        <f>AT42</f>
        <v>49.813923647362749</v>
      </c>
      <c r="AI58">
        <f>AH58/100*$AI$65</f>
        <v>35467.275900792411</v>
      </c>
      <c r="AW58" t="s">
        <v>0</v>
      </c>
      <c r="AX58" t="s">
        <v>201</v>
      </c>
      <c r="AY58" t="s">
        <v>132</v>
      </c>
      <c r="AZ58" t="s">
        <v>320</v>
      </c>
      <c r="BB58" t="s">
        <v>136</v>
      </c>
      <c r="BC58" t="s">
        <v>140</v>
      </c>
    </row>
    <row r="59" spans="19:61" x14ac:dyDescent="0.2">
      <c r="S59" t="s">
        <v>49</v>
      </c>
      <c r="T59" s="5">
        <f>T29+T30+T31+T32*2</f>
        <v>90269.917490792082</v>
      </c>
      <c r="U59" s="5"/>
      <c r="V59" s="5"/>
      <c r="W59" s="5"/>
      <c r="X59" s="5"/>
      <c r="Y59" s="5"/>
      <c r="Z59" s="5"/>
      <c r="AA59" s="5"/>
      <c r="AB59" s="5" t="s">
        <v>49</v>
      </c>
      <c r="AC59" s="5">
        <f>AC29+AC30+AC31+AC32</f>
        <v>90263.837506260315</v>
      </c>
      <c r="AG59" t="s">
        <v>8</v>
      </c>
      <c r="AH59">
        <f t="shared" ref="AH59:AH64" si="25">AT43</f>
        <v>2.8589988855038224</v>
      </c>
      <c r="AI59">
        <f t="shared" ref="AI59:AI64" si="26">AH59/100*$AI$65</f>
        <v>2035.5935619536458</v>
      </c>
      <c r="AW59" t="s">
        <v>7</v>
      </c>
      <c r="AX59">
        <f>AT42</f>
        <v>49.813923647362749</v>
      </c>
      <c r="AY59">
        <f>AU42-AI58</f>
        <v>8821.0069843419624</v>
      </c>
      <c r="BB59" s="1">
        <v>244</v>
      </c>
      <c r="BC59" s="5">
        <f>BB59*AY59*-1</f>
        <v>-2152325.7041794388</v>
      </c>
    </row>
    <row r="60" spans="19:61" x14ac:dyDescent="0.2">
      <c r="S60" t="s">
        <v>204</v>
      </c>
      <c r="T60" s="5">
        <f>T27*2+T31*4+T32*6+T33*2</f>
        <v>596671.42266004486</v>
      </c>
      <c r="U60" s="5"/>
      <c r="V60" s="5"/>
      <c r="W60" s="5"/>
      <c r="X60" s="5"/>
      <c r="Y60" s="5"/>
      <c r="Z60" s="5"/>
      <c r="AA60" s="5"/>
      <c r="AB60" s="5" t="s">
        <v>204</v>
      </c>
      <c r="AC60" s="5">
        <f>AC27*2+AC31*4+AC33*2</f>
        <v>596559.86649852968</v>
      </c>
      <c r="AG60" t="s">
        <v>9</v>
      </c>
      <c r="AH60">
        <f t="shared" si="25"/>
        <v>38.799065305748897</v>
      </c>
      <c r="AI60">
        <f t="shared" si="26"/>
        <v>27624.749329793303</v>
      </c>
      <c r="AR60" t="s">
        <v>199</v>
      </c>
      <c r="AW60" t="s">
        <v>8</v>
      </c>
      <c r="AX60">
        <f>AT43</f>
        <v>2.8589988855038224</v>
      </c>
      <c r="AY60">
        <f t="shared" ref="AY60:AY65" si="27">AU43-AI59</f>
        <v>506.2690768104203</v>
      </c>
      <c r="BA60">
        <f>E28-AT7-AZ28-AY60</f>
        <v>-7.1273430733280065</v>
      </c>
      <c r="BB60" s="1"/>
      <c r="BC60" s="5"/>
    </row>
    <row r="61" spans="19:61" x14ac:dyDescent="0.2">
      <c r="S61" t="s">
        <v>205</v>
      </c>
      <c r="T61" s="5">
        <f>T29+T30*2+T33</f>
        <v>182337.33069916506</v>
      </c>
      <c r="U61" s="5"/>
      <c r="V61" s="5"/>
      <c r="W61" s="5"/>
      <c r="X61" s="5"/>
      <c r="Y61" s="5"/>
      <c r="Z61" s="5"/>
      <c r="AA61" s="5"/>
      <c r="AB61" s="5" t="s">
        <v>205</v>
      </c>
      <c r="AC61" s="5">
        <f>AC29+AC30*2+AC33</f>
        <v>182338.70399056762</v>
      </c>
      <c r="AG61" t="s">
        <v>10</v>
      </c>
      <c r="AH61">
        <f t="shared" si="25"/>
        <v>4.950469873368057</v>
      </c>
      <c r="AI61">
        <f t="shared" si="26"/>
        <v>3524.7109238021503</v>
      </c>
      <c r="AR61" t="s">
        <v>200</v>
      </c>
      <c r="AW61" t="s">
        <v>9</v>
      </c>
      <c r="AX61">
        <f t="shared" ref="AX61:AX65" si="28">AT44</f>
        <v>38.799065305748897</v>
      </c>
      <c r="AY61">
        <f t="shared" si="27"/>
        <v>6870.5052922702307</v>
      </c>
      <c r="AZ61">
        <f>AY61*44/1000</f>
        <v>302.30223285989013</v>
      </c>
      <c r="BB61" s="1">
        <v>283.24</v>
      </c>
      <c r="BC61" s="5">
        <f>BB61*AY61*-1</f>
        <v>-1946001.9189826201</v>
      </c>
    </row>
    <row r="62" spans="19:61" x14ac:dyDescent="0.2">
      <c r="AG62" t="s">
        <v>11</v>
      </c>
      <c r="AH62">
        <f t="shared" si="25"/>
        <v>3.5775422880164354</v>
      </c>
      <c r="AI62">
        <f t="shared" si="26"/>
        <v>2547.1930353060766</v>
      </c>
      <c r="AR62" t="s">
        <v>263</v>
      </c>
      <c r="AW62" t="s">
        <v>10</v>
      </c>
      <c r="AX62">
        <f t="shared" si="28"/>
        <v>4.950469873368057</v>
      </c>
      <c r="AY62">
        <f t="shared" si="27"/>
        <v>876.62497011648247</v>
      </c>
      <c r="AZ62">
        <f>AY62*44/1000</f>
        <v>38.571498685125235</v>
      </c>
      <c r="BB62" s="1"/>
      <c r="BC62" s="9"/>
    </row>
    <row r="63" spans="19:61" x14ac:dyDescent="0.2">
      <c r="AG63" t="s">
        <v>12</v>
      </c>
      <c r="AH63">
        <f t="shared" si="25"/>
        <v>0</v>
      </c>
      <c r="AI63">
        <f t="shared" si="26"/>
        <v>0</v>
      </c>
      <c r="AR63" t="s">
        <v>264</v>
      </c>
      <c r="AW63" t="s">
        <v>11</v>
      </c>
      <c r="AX63">
        <f t="shared" si="28"/>
        <v>3.5775422880164354</v>
      </c>
      <c r="AY63">
        <f t="shared" si="27"/>
        <v>633.50812782326193</v>
      </c>
      <c r="AZ63">
        <f>AY63*44/1000</f>
        <v>27.874357624223524</v>
      </c>
      <c r="BB63" s="1">
        <v>802.34</v>
      </c>
      <c r="BC63">
        <f>BB63*AY63*-1</f>
        <v>-508288.91127771599</v>
      </c>
    </row>
    <row r="64" spans="19:61" x14ac:dyDescent="0.2">
      <c r="AG64" t="s">
        <v>13</v>
      </c>
      <c r="AH64">
        <f t="shared" si="25"/>
        <v>0</v>
      </c>
      <c r="AI64">
        <f t="shared" si="26"/>
        <v>0</v>
      </c>
      <c r="AR64" t="s">
        <v>216</v>
      </c>
      <c r="AW64" t="s">
        <v>12</v>
      </c>
      <c r="AX64">
        <f t="shared" si="28"/>
        <v>0</v>
      </c>
      <c r="AY64">
        <f t="shared" si="27"/>
        <v>0</v>
      </c>
      <c r="BB64" s="1">
        <v>1437.2</v>
      </c>
      <c r="BC64">
        <v>0</v>
      </c>
    </row>
    <row r="65" spans="4:61" x14ac:dyDescent="0.2">
      <c r="M65" s="5"/>
      <c r="AG65" t="s">
        <v>14</v>
      </c>
      <c r="AH65" s="17">
        <f>D34*AH55</f>
        <v>1764.0194398284514</v>
      </c>
      <c r="AI65">
        <f>($A$34)*($AH$65*1000)/($E$24*$B$34)</f>
        <v>71199.522751647615</v>
      </c>
      <c r="AR65" t="s">
        <v>265</v>
      </c>
      <c r="AW65" t="s">
        <v>13</v>
      </c>
      <c r="AX65">
        <f t="shared" si="28"/>
        <v>0</v>
      </c>
      <c r="AY65">
        <f t="shared" si="27"/>
        <v>0</v>
      </c>
      <c r="BB65" s="1"/>
      <c r="BC65" s="22"/>
    </row>
    <row r="66" spans="4:61" x14ac:dyDescent="0.2">
      <c r="M66" s="1"/>
      <c r="AG66" t="s">
        <v>15</v>
      </c>
      <c r="AH66" s="40"/>
      <c r="AR66" t="s">
        <v>266</v>
      </c>
      <c r="AW66" t="s">
        <v>14</v>
      </c>
      <c r="AX66" s="9">
        <f>AY66*$E$24*$B$34/$A$34/1000</f>
        <v>438.72633023090748</v>
      </c>
      <c r="AY66">
        <f>AU49-AI65</f>
        <v>17707.914451362361</v>
      </c>
    </row>
    <row r="67" spans="4:61" x14ac:dyDescent="0.2">
      <c r="M67" s="1"/>
      <c r="AG67" t="s">
        <v>16</v>
      </c>
      <c r="AH67" s="1">
        <f>AE52</f>
        <v>0</v>
      </c>
      <c r="AW67" t="s">
        <v>15</v>
      </c>
      <c r="AX67" s="1">
        <f>AU35</f>
        <v>20</v>
      </c>
      <c r="BI67" s="17"/>
    </row>
    <row r="68" spans="4:61" x14ac:dyDescent="0.2">
      <c r="M68" s="1"/>
      <c r="AW68" t="s">
        <v>16</v>
      </c>
      <c r="AX68" s="1">
        <v>0.1</v>
      </c>
      <c r="BD68" t="s">
        <v>280</v>
      </c>
    </row>
    <row r="69" spans="4:61" x14ac:dyDescent="0.2">
      <c r="M69" s="1"/>
      <c r="AW69" t="s">
        <v>116</v>
      </c>
      <c r="BC69" s="23">
        <f>SUM(BC59:BC65)</f>
        <v>-4606616.5344397752</v>
      </c>
      <c r="BD69" s="6">
        <v>0.95</v>
      </c>
      <c r="BE69">
        <f>BC69*BD69</f>
        <v>-4376285.7077177865</v>
      </c>
      <c r="BF69" s="5">
        <f>S15-V49-V51-V54+BE69</f>
        <v>633.3185727596283</v>
      </c>
    </row>
    <row r="70" spans="4:61" x14ac:dyDescent="0.2">
      <c r="M70" s="1"/>
      <c r="O70" s="1"/>
      <c r="P70" s="5"/>
      <c r="BD70" t="s">
        <v>279</v>
      </c>
    </row>
    <row r="71" spans="4:61" x14ac:dyDescent="0.2">
      <c r="M71" s="1"/>
      <c r="O71" s="1"/>
      <c r="P71" s="5"/>
    </row>
    <row r="72" spans="4:61" x14ac:dyDescent="0.2">
      <c r="M72" s="1"/>
      <c r="AA72" s="9"/>
    </row>
    <row r="73" spans="4:61" x14ac:dyDescent="0.2">
      <c r="M73" s="9"/>
      <c r="AA73" s="17"/>
    </row>
    <row r="74" spans="4:61" x14ac:dyDescent="0.2">
      <c r="M74" s="1"/>
      <c r="N74" s="3"/>
      <c r="AA74" s="17"/>
    </row>
    <row r="75" spans="4:61" x14ac:dyDescent="0.2">
      <c r="D75" s="14"/>
      <c r="M75" s="1"/>
    </row>
    <row r="76" spans="4:61" x14ac:dyDescent="0.2">
      <c r="P76" s="5"/>
    </row>
    <row r="86" spans="6:27" x14ac:dyDescent="0.2">
      <c r="P86" s="15"/>
    </row>
    <row r="87" spans="6:27" x14ac:dyDescent="0.2">
      <c r="F87" s="14" t="s">
        <v>146</v>
      </c>
      <c r="P87" s="16" t="s">
        <v>102</v>
      </c>
    </row>
    <row r="88" spans="6:27" x14ac:dyDescent="0.2">
      <c r="F88" s="2" t="s">
        <v>118</v>
      </c>
      <c r="P88" s="15"/>
      <c r="S88" t="s">
        <v>18</v>
      </c>
      <c r="T88" t="s">
        <v>59</v>
      </c>
      <c r="U88" t="s">
        <v>56</v>
      </c>
      <c r="V88" t="s">
        <v>44</v>
      </c>
      <c r="W88" t="s">
        <v>60</v>
      </c>
      <c r="X88" t="s">
        <v>54</v>
      </c>
      <c r="Y88" t="s">
        <v>49</v>
      </c>
      <c r="AA88" t="s">
        <v>100</v>
      </c>
    </row>
    <row r="89" spans="6:27" x14ac:dyDescent="0.2">
      <c r="G89" t="s">
        <v>47</v>
      </c>
      <c r="H89" t="s">
        <v>48</v>
      </c>
      <c r="I89" t="s">
        <v>49</v>
      </c>
      <c r="J89" t="s">
        <v>33</v>
      </c>
      <c r="K89" t="s">
        <v>50</v>
      </c>
      <c r="L89" t="s">
        <v>109</v>
      </c>
      <c r="M89" t="s">
        <v>108</v>
      </c>
      <c r="N89" t="s">
        <v>144</v>
      </c>
      <c r="P89" s="15" t="s">
        <v>77</v>
      </c>
      <c r="R89" t="s">
        <v>61</v>
      </c>
      <c r="S89">
        <v>3</v>
      </c>
      <c r="T89">
        <v>1</v>
      </c>
      <c r="V89">
        <v>-1</v>
      </c>
      <c r="X89">
        <v>-1</v>
      </c>
    </row>
    <row r="90" spans="6:27" x14ac:dyDescent="0.2">
      <c r="F90" t="s">
        <v>173</v>
      </c>
      <c r="P90" s="15" t="s">
        <v>66</v>
      </c>
      <c r="R90" t="s">
        <v>62</v>
      </c>
      <c r="S90">
        <v>1</v>
      </c>
      <c r="T90">
        <v>-1</v>
      </c>
      <c r="U90">
        <v>1</v>
      </c>
      <c r="X90">
        <v>-1</v>
      </c>
      <c r="Z90" s="10" t="s">
        <v>71</v>
      </c>
      <c r="AA90" t="s">
        <v>101</v>
      </c>
    </row>
    <row r="91" spans="6:27" x14ac:dyDescent="0.2">
      <c r="F91" t="s">
        <v>18</v>
      </c>
      <c r="G91" s="1">
        <v>33.066178000000001</v>
      </c>
      <c r="H91" s="1">
        <v>-11.363417</v>
      </c>
      <c r="I91" s="1">
        <v>11.432816000000001</v>
      </c>
      <c r="J91" s="1">
        <v>-2.7728739999999998</v>
      </c>
      <c r="K91" s="1">
        <v>-0.158558</v>
      </c>
      <c r="L91" s="1">
        <f>$K$35+273</f>
        <v>663</v>
      </c>
      <c r="M91" s="1">
        <f>$D$35+273</f>
        <v>293</v>
      </c>
      <c r="N91">
        <f>(G91*(L91-M91)+H91/2000*(L91^2-M91^2)+I91/(3*10^6)*(L91^3-M91^3)+J91/(4*10^9)*(L91^4-M91^4)-(10^6*K91)*(1/M91-1/L91))/1000</f>
        <v>11.412696539760386</v>
      </c>
      <c r="P91" s="15" t="s">
        <v>78</v>
      </c>
      <c r="S91">
        <v>4</v>
      </c>
      <c r="U91">
        <v>1</v>
      </c>
      <c r="V91">
        <v>-1</v>
      </c>
      <c r="X91">
        <v>-2</v>
      </c>
      <c r="Z91" s="10" t="s">
        <v>71</v>
      </c>
    </row>
    <row r="92" spans="6:27" x14ac:dyDescent="0.2">
      <c r="F92" t="s">
        <v>55</v>
      </c>
      <c r="G92" s="1">
        <v>19.50583</v>
      </c>
      <c r="H92" s="1">
        <v>19.887049999999999</v>
      </c>
      <c r="I92" s="1">
        <v>-8.598535</v>
      </c>
      <c r="J92" s="1">
        <v>1.3697839999999999</v>
      </c>
      <c r="K92" s="1">
        <v>0.52760099999999999</v>
      </c>
      <c r="L92" s="1">
        <f t="shared" ref="L92:L97" si="29">$K$35+273</f>
        <v>663</v>
      </c>
      <c r="M92" s="1">
        <f t="shared" ref="M92:M97" si="30">$D$35+273</f>
        <v>293</v>
      </c>
      <c r="N92">
        <f>(G92*(L92-M92)+H92/2000*(L92^2-M92^2)+I92/(3*10^6)*(L92^3-M92^3)+J92/(4*10^9)*(L92^4-M92^4)-(10^6*K92)*(1/M92-1/L92))/1000</f>
        <v>9.0299095475672946</v>
      </c>
      <c r="P92" s="15" t="s">
        <v>79</v>
      </c>
      <c r="S92" s="10">
        <v>2</v>
      </c>
      <c r="T92" s="10">
        <v>2</v>
      </c>
      <c r="U92" s="10">
        <v>-1</v>
      </c>
      <c r="V92" s="10">
        <v>-1</v>
      </c>
      <c r="W92" s="10"/>
      <c r="X92" s="10"/>
      <c r="Y92" s="10"/>
    </row>
    <row r="93" spans="6:27" x14ac:dyDescent="0.2">
      <c r="F93" t="s">
        <v>59</v>
      </c>
      <c r="G93" s="1">
        <v>25.567589999999999</v>
      </c>
      <c r="H93" s="1">
        <v>6.0961299999999996</v>
      </c>
      <c r="I93" s="1">
        <v>4.0546559999999996</v>
      </c>
      <c r="J93" s="1">
        <v>-2.6713010000000001</v>
      </c>
      <c r="K93" s="1">
        <v>0.131021</v>
      </c>
      <c r="L93" s="1">
        <f t="shared" si="29"/>
        <v>663</v>
      </c>
      <c r="M93" s="1">
        <f t="shared" si="30"/>
        <v>293</v>
      </c>
      <c r="N93">
        <f>(G93*(L93-M93)+H93/2000*(L93^2-M93^2)+I93/(3*10^6)*(L93^3-M93^3)+J93/(4*10^9)*(L93^4-M93^4)-(10^6*K93)*(1/M93-1/L93))/1000</f>
        <v>10.524393639686577</v>
      </c>
      <c r="P93" s="15" t="s">
        <v>80</v>
      </c>
      <c r="Q93" t="s">
        <v>84</v>
      </c>
      <c r="S93" s="13">
        <v>-1</v>
      </c>
      <c r="T93" s="13">
        <v>-1</v>
      </c>
      <c r="U93" s="13"/>
      <c r="V93" s="13"/>
      <c r="W93" s="13"/>
      <c r="X93" s="13">
        <v>1</v>
      </c>
      <c r="Y93" s="13">
        <v>1</v>
      </c>
      <c r="Z93" s="11" t="s">
        <v>71</v>
      </c>
    </row>
    <row r="94" spans="6:27" x14ac:dyDescent="0.2">
      <c r="F94" t="s">
        <v>56</v>
      </c>
      <c r="G94" s="1">
        <v>24.997350000000001</v>
      </c>
      <c r="H94" s="1">
        <v>55.186959999999999</v>
      </c>
      <c r="I94" s="1">
        <v>-33.691369999999999</v>
      </c>
      <c r="J94" s="1">
        <v>7.9483870000000003</v>
      </c>
      <c r="K94" s="1">
        <v>-0.13663800000000001</v>
      </c>
      <c r="L94" s="1">
        <f t="shared" si="29"/>
        <v>663</v>
      </c>
      <c r="M94" s="1">
        <f t="shared" si="30"/>
        <v>293</v>
      </c>
      <c r="N94">
        <f>(G94*(L94-M94)+H94/2000*(L94^2-M94^2)+I94/(3*10^6)*(L94^3-M94^3)+J94/(4*10^9)*(L94^4-M94^4)-(10^6*K94)*(1/M94-1/L94))/1000</f>
        <v>16.648488170542745</v>
      </c>
      <c r="P94" s="15" t="s">
        <v>81</v>
      </c>
      <c r="Q94" t="s">
        <v>84</v>
      </c>
      <c r="T94">
        <v>-2</v>
      </c>
      <c r="U94">
        <v>1</v>
      </c>
      <c r="Y94">
        <v>1</v>
      </c>
      <c r="Z94" s="13" t="s">
        <v>71</v>
      </c>
    </row>
    <row r="95" spans="6:27" x14ac:dyDescent="0.2">
      <c r="F95" t="s">
        <v>44</v>
      </c>
      <c r="G95" s="1">
        <v>-0.70302900000000002</v>
      </c>
      <c r="H95" s="1">
        <v>108.4773</v>
      </c>
      <c r="I95" s="1">
        <v>-42.521569999999997</v>
      </c>
      <c r="J95" s="1">
        <v>5.8627880000000001</v>
      </c>
      <c r="K95" s="1">
        <v>0.67856499999999997</v>
      </c>
      <c r="L95" s="1">
        <f t="shared" si="29"/>
        <v>663</v>
      </c>
      <c r="M95" s="1">
        <f t="shared" si="30"/>
        <v>293</v>
      </c>
      <c r="N95">
        <f>(G95*(L95-M95)+H95/2000*(L95^2-M95^2)+I95/(3*10^6)*(L95^3-M95^3)+J95/(4*10^9)*(L95^4-M95^4)-(10^6*K95)*(1/M95-1/L95))/1000</f>
        <v>14.130909209883855</v>
      </c>
      <c r="P95" s="15" t="s">
        <v>82</v>
      </c>
      <c r="Q95" t="s">
        <v>84</v>
      </c>
      <c r="R95" t="s">
        <v>63</v>
      </c>
      <c r="S95" s="11">
        <v>2</v>
      </c>
      <c r="T95" s="11"/>
      <c r="U95" s="11"/>
      <c r="V95" s="11">
        <v>-1</v>
      </c>
      <c r="W95" s="11"/>
      <c r="X95" s="11"/>
      <c r="Y95" s="11">
        <v>1</v>
      </c>
    </row>
    <row r="96" spans="6:27" x14ac:dyDescent="0.2">
      <c r="F96" t="s">
        <v>148</v>
      </c>
      <c r="G96" s="1"/>
      <c r="H96" s="1"/>
      <c r="I96" s="1"/>
      <c r="J96" s="1"/>
      <c r="K96" s="1"/>
      <c r="L96" s="1">
        <f t="shared" si="29"/>
        <v>663</v>
      </c>
      <c r="M96" s="1">
        <f t="shared" si="30"/>
        <v>293</v>
      </c>
      <c r="N96" s="2">
        <f>N95</f>
        <v>14.130909209883855</v>
      </c>
      <c r="O96" t="s">
        <v>58</v>
      </c>
      <c r="P96" s="15" t="s">
        <v>83</v>
      </c>
      <c r="R96" t="s">
        <v>64</v>
      </c>
      <c r="S96">
        <v>5</v>
      </c>
      <c r="T96">
        <v>2</v>
      </c>
      <c r="W96">
        <v>-1</v>
      </c>
      <c r="X96">
        <v>-2</v>
      </c>
    </row>
    <row r="97" spans="6:30" x14ac:dyDescent="0.2">
      <c r="F97" t="s">
        <v>54</v>
      </c>
      <c r="G97" s="1">
        <v>30.091999999999999</v>
      </c>
      <c r="H97" s="1">
        <v>6.8325139999999998</v>
      </c>
      <c r="I97" s="1">
        <v>6.7934349999999997</v>
      </c>
      <c r="J97" s="1">
        <v>-2.5344799999999998</v>
      </c>
      <c r="K97" s="1">
        <v>8.2139000000000004E-2</v>
      </c>
      <c r="L97" s="1">
        <f t="shared" si="29"/>
        <v>663</v>
      </c>
      <c r="M97" s="1">
        <f t="shared" si="30"/>
        <v>293</v>
      </c>
      <c r="N97">
        <f>(G97*(L97-M97)+H97/2000*(L97^2-M97^2)+I97/(3*10^6)*(L97^3-M97^3)+J97/(4*10^9)*(L97^4-M97^4)-(10^6*K97)*(1/M97-1/L97))/1000</f>
        <v>12.671218017974889</v>
      </c>
      <c r="P97" s="15"/>
    </row>
    <row r="98" spans="6:30" x14ac:dyDescent="0.2">
      <c r="F98" t="s">
        <v>154</v>
      </c>
      <c r="P98" s="15" t="s">
        <v>67</v>
      </c>
      <c r="Q98" t="s">
        <v>69</v>
      </c>
      <c r="S98" s="10">
        <f t="shared" ref="S98:Y98" si="31">S89-S90</f>
        <v>2</v>
      </c>
      <c r="T98" s="10">
        <f t="shared" si="31"/>
        <v>2</v>
      </c>
      <c r="U98" s="10">
        <f t="shared" si="31"/>
        <v>-1</v>
      </c>
      <c r="V98" s="10">
        <f t="shared" si="31"/>
        <v>-1</v>
      </c>
      <c r="W98" s="10">
        <f t="shared" si="31"/>
        <v>0</v>
      </c>
      <c r="X98" s="10">
        <f t="shared" si="31"/>
        <v>0</v>
      </c>
      <c r="Y98" s="10">
        <f t="shared" si="31"/>
        <v>0</v>
      </c>
    </row>
    <row r="99" spans="6:30" x14ac:dyDescent="0.2">
      <c r="F99" t="s">
        <v>18</v>
      </c>
      <c r="G99" s="1">
        <v>33.066178000000001</v>
      </c>
      <c r="H99" s="1">
        <v>-11.363417</v>
      </c>
      <c r="I99" s="1">
        <v>11.432816000000001</v>
      </c>
      <c r="J99" s="1">
        <v>-2.7728739999999998</v>
      </c>
      <c r="K99" s="1">
        <v>-0.158558</v>
      </c>
      <c r="L99" s="1">
        <f>$S$35+273</f>
        <v>793</v>
      </c>
      <c r="M99" s="1">
        <f t="shared" ref="M99:M104" si="32">$K$35+273</f>
        <v>663</v>
      </c>
      <c r="N99">
        <f>(G99*(L99-M99)+H99/2000*(L99^2-M99^2)+I99/(3*10^6)*(L99^3-M99^3)+J99/(4*10^9)*(L99^4-M99^4)-(10^6*K99)*(1/M99-1/L99))/1000</f>
        <v>3.9119753691091494</v>
      </c>
      <c r="P99" s="15" t="s">
        <v>68</v>
      </c>
      <c r="Q99" t="s">
        <v>70</v>
      </c>
      <c r="S99" s="10">
        <f t="shared" ref="S99:Y99" si="33">2*S89-S91</f>
        <v>2</v>
      </c>
      <c r="T99" s="10">
        <f t="shared" si="33"/>
        <v>2</v>
      </c>
      <c r="U99" s="10">
        <f t="shared" si="33"/>
        <v>-1</v>
      </c>
      <c r="V99" s="10">
        <f t="shared" si="33"/>
        <v>-1</v>
      </c>
      <c r="W99" s="10">
        <f t="shared" si="33"/>
        <v>0</v>
      </c>
      <c r="X99" s="10">
        <f t="shared" si="33"/>
        <v>0</v>
      </c>
      <c r="Y99" s="10">
        <f t="shared" si="33"/>
        <v>0</v>
      </c>
    </row>
    <row r="100" spans="6:30" x14ac:dyDescent="0.2">
      <c r="F100" t="s">
        <v>55</v>
      </c>
      <c r="G100" s="1">
        <v>19.50583</v>
      </c>
      <c r="H100" s="1">
        <v>19.887049999999999</v>
      </c>
      <c r="I100" s="1">
        <v>-8.598535</v>
      </c>
      <c r="J100" s="1">
        <v>1.3697839999999999</v>
      </c>
      <c r="K100" s="1">
        <v>0.52760099999999999</v>
      </c>
      <c r="L100" s="1">
        <f t="shared" ref="L100:L105" si="34">$S$35+273</f>
        <v>793</v>
      </c>
      <c r="M100" s="1">
        <f t="shared" si="32"/>
        <v>663</v>
      </c>
      <c r="N100">
        <f>(G100*(L100-M100)+H100/2000*(L100^2-M100^2)+I100/(3*10^6)*(L100^3-M100^3)+J100/(4*10^9)*(L100^4-M100^4)-(10^6*K100)*(1/M100-1/L100))/1000</f>
        <v>3.7626703402191102</v>
      </c>
      <c r="P100" s="15" t="s">
        <v>85</v>
      </c>
      <c r="Q100" t="s">
        <v>86</v>
      </c>
      <c r="S100" s="11">
        <f t="shared" ref="S100:Y100" si="35">S89+S93</f>
        <v>2</v>
      </c>
      <c r="T100" s="11">
        <f t="shared" si="35"/>
        <v>0</v>
      </c>
      <c r="U100" s="11">
        <f t="shared" si="35"/>
        <v>0</v>
      </c>
      <c r="V100" s="11">
        <f t="shared" si="35"/>
        <v>-1</v>
      </c>
      <c r="W100" s="11">
        <f t="shared" si="35"/>
        <v>0</v>
      </c>
      <c r="X100" s="11">
        <f t="shared" si="35"/>
        <v>0</v>
      </c>
      <c r="Y100" s="11">
        <f t="shared" si="35"/>
        <v>1</v>
      </c>
    </row>
    <row r="101" spans="6:30" x14ac:dyDescent="0.2">
      <c r="F101" t="s">
        <v>59</v>
      </c>
      <c r="G101" s="1">
        <v>25.567589999999999</v>
      </c>
      <c r="H101" s="1">
        <v>6.0961299999999996</v>
      </c>
      <c r="I101" s="1">
        <v>4.0546559999999996</v>
      </c>
      <c r="J101" s="1">
        <v>-2.6713010000000001</v>
      </c>
      <c r="K101" s="1">
        <v>0.131021</v>
      </c>
      <c r="L101" s="1">
        <f t="shared" si="34"/>
        <v>793</v>
      </c>
      <c r="M101" s="1">
        <f t="shared" si="32"/>
        <v>663</v>
      </c>
      <c r="N101">
        <f t="shared" ref="N101:N102" si="36">(G101*(L101-M101)+H101/2000*(L101^2-M101^2)+I101/(3*10^6)*(L101^3-M101^3)+J101/(4*10^9)*(L101^4-M101^4)-(10^6*K101)*(1/M101-1/L101))/1000</f>
        <v>4.0133732821188897</v>
      </c>
      <c r="P101" s="15" t="s">
        <v>87</v>
      </c>
      <c r="Q101" s="12" t="s">
        <v>88</v>
      </c>
      <c r="S101" s="13">
        <f t="shared" ref="S101:Y101" si="37">S94-S90</f>
        <v>-1</v>
      </c>
      <c r="T101" s="13">
        <f t="shared" si="37"/>
        <v>-1</v>
      </c>
      <c r="U101" s="13">
        <f t="shared" si="37"/>
        <v>0</v>
      </c>
      <c r="V101" s="13">
        <f t="shared" si="37"/>
        <v>0</v>
      </c>
      <c r="W101" s="13">
        <f t="shared" si="37"/>
        <v>0</v>
      </c>
      <c r="X101" s="13">
        <f t="shared" si="37"/>
        <v>1</v>
      </c>
      <c r="Y101" s="13">
        <f t="shared" si="37"/>
        <v>1</v>
      </c>
    </row>
    <row r="102" spans="6:30" x14ac:dyDescent="0.2">
      <c r="F102" t="s">
        <v>56</v>
      </c>
      <c r="G102" s="1">
        <v>24.997350000000001</v>
      </c>
      <c r="H102" s="1">
        <v>55.186959999999999</v>
      </c>
      <c r="I102" s="1">
        <v>-33.691369999999999</v>
      </c>
      <c r="J102" s="1">
        <v>7.9483870000000003</v>
      </c>
      <c r="K102" s="1">
        <v>-0.13663800000000001</v>
      </c>
      <c r="L102" s="1">
        <f t="shared" si="34"/>
        <v>793</v>
      </c>
      <c r="M102" s="1">
        <f t="shared" si="32"/>
        <v>663</v>
      </c>
      <c r="N102">
        <f t="shared" si="36"/>
        <v>6.5807519704037611</v>
      </c>
      <c r="P102" s="15"/>
    </row>
    <row r="103" spans="6:30" x14ac:dyDescent="0.2">
      <c r="F103" t="s">
        <v>44</v>
      </c>
      <c r="G103" s="1">
        <v>-0.70302900000000002</v>
      </c>
      <c r="H103" s="1">
        <v>108.4773</v>
      </c>
      <c r="I103" s="1">
        <v>-42.521569999999997</v>
      </c>
      <c r="J103" s="1">
        <v>5.8627880000000001</v>
      </c>
      <c r="K103" s="1">
        <v>0.67856499999999997</v>
      </c>
      <c r="L103" s="1">
        <f t="shared" si="34"/>
        <v>793</v>
      </c>
      <c r="M103" s="1">
        <f t="shared" si="32"/>
        <v>663</v>
      </c>
      <c r="N103">
        <f>(G103*(L103-M103)+H103/2000*(L103^2-M103^2)+I103/(3*10^6)*(L103^3-M103^3)+J103/(4*10^9)*(L103^4-M103^4)-(10^6*K103)*(1/M103-1/L103))/1000</f>
        <v>7.3660902678144407</v>
      </c>
      <c r="P103" s="15"/>
      <c r="AB103" s="15" t="s">
        <v>96</v>
      </c>
    </row>
    <row r="104" spans="6:30" x14ac:dyDescent="0.2">
      <c r="F104" t="s">
        <v>148</v>
      </c>
      <c r="G104" s="1"/>
      <c r="H104" s="1"/>
      <c r="I104" s="1"/>
      <c r="J104" s="1"/>
      <c r="K104" s="1"/>
      <c r="L104" s="1">
        <f t="shared" si="34"/>
        <v>793</v>
      </c>
      <c r="M104" s="1">
        <f t="shared" si="32"/>
        <v>663</v>
      </c>
      <c r="N104" s="2">
        <f>N103</f>
        <v>7.3660902678144407</v>
      </c>
      <c r="P104" s="15"/>
      <c r="S104" t="s">
        <v>61</v>
      </c>
      <c r="T104" t="s">
        <v>62</v>
      </c>
      <c r="U104" t="s">
        <v>63</v>
      </c>
      <c r="V104" t="s">
        <v>64</v>
      </c>
      <c r="AB104" s="15" t="s">
        <v>97</v>
      </c>
      <c r="AC104" t="s">
        <v>98</v>
      </c>
      <c r="AD104" t="s">
        <v>99</v>
      </c>
    </row>
    <row r="105" spans="6:30" x14ac:dyDescent="0.2">
      <c r="F105" t="s">
        <v>218</v>
      </c>
      <c r="G105" s="1">
        <v>30.091999999999999</v>
      </c>
      <c r="H105" s="1">
        <v>6.8325139999999998</v>
      </c>
      <c r="I105" s="1">
        <v>6.7934349999999997</v>
      </c>
      <c r="J105" s="1">
        <v>-2.5344799999999998</v>
      </c>
      <c r="K105" s="1">
        <v>8.2139000000000004E-2</v>
      </c>
      <c r="L105" s="1">
        <f t="shared" si="34"/>
        <v>793</v>
      </c>
      <c r="M105" s="1">
        <f>$P$17+273</f>
        <v>663</v>
      </c>
      <c r="N105">
        <f>(G105*(L105-M105)+H105/2000*(L105^2-M105^2)+I105/(3*10^6)*(L105^3-M105^3)+J105/(4*10^9)*(L105^4-M105^4)-(10^6*K105)*(1/M105-1/L105))/1000</f>
        <v>4.8794395387115959</v>
      </c>
      <c r="P105" s="15"/>
      <c r="R105" t="s">
        <v>65</v>
      </c>
      <c r="S105">
        <f>S89</f>
        <v>3</v>
      </c>
      <c r="T105">
        <f>S90</f>
        <v>1</v>
      </c>
      <c r="U105">
        <f>S95</f>
        <v>2</v>
      </c>
      <c r="V105">
        <f>S96</f>
        <v>5</v>
      </c>
      <c r="X105" s="12"/>
      <c r="Z105" s="5"/>
      <c r="AB105" s="15">
        <f>AB27/100*AC34-S27/100*T34</f>
        <v>174496.34888123712</v>
      </c>
      <c r="AC105">
        <f>S105*Z$108+T105*Z$107+U105*Z$111+V105*Z$109</f>
        <v>174559.58023792907</v>
      </c>
      <c r="AD105" s="7">
        <f>(AC105-AB105)/AB105</f>
        <v>3.6236492681564897E-4</v>
      </c>
    </row>
    <row r="106" spans="6:30" x14ac:dyDescent="0.2">
      <c r="F106" t="s">
        <v>206</v>
      </c>
      <c r="P106" s="15"/>
      <c r="R106" t="s">
        <v>72</v>
      </c>
      <c r="S106">
        <f>T89</f>
        <v>1</v>
      </c>
      <c r="T106">
        <f>T90</f>
        <v>-1</v>
      </c>
      <c r="V106">
        <f>T96</f>
        <v>2</v>
      </c>
      <c r="Z106" s="5"/>
      <c r="AB106" s="15">
        <f>AB29/100*AC34-S29/100*T34</f>
        <v>45490.450938267953</v>
      </c>
      <c r="AC106">
        <f>S106*Z$108+T106*Z$107+U106*Z$111+V106*Z$109</f>
        <v>45496.530922799728</v>
      </c>
      <c r="AD106" s="7">
        <f>(AC106-AB106)/AB106</f>
        <v>1.3365408357954032E-4</v>
      </c>
    </row>
    <row r="107" spans="6:30" x14ac:dyDescent="0.2">
      <c r="F107" t="s">
        <v>18</v>
      </c>
      <c r="G107" s="1">
        <v>33.066178000000001</v>
      </c>
      <c r="H107" s="1">
        <v>-11.363417</v>
      </c>
      <c r="I107" s="1">
        <v>11.432816000000001</v>
      </c>
      <c r="J107" s="1">
        <v>-2.7728739999999998</v>
      </c>
      <c r="K107" s="1">
        <v>-0.158558</v>
      </c>
      <c r="L107" s="1">
        <f t="shared" ref="L107:L113" si="38">$AB$35+273</f>
        <v>1373</v>
      </c>
      <c r="M107" s="1">
        <f t="shared" ref="M107:M113" si="39">$S$35+273</f>
        <v>793</v>
      </c>
      <c r="N107">
        <f>(G107*(L107-M107)+H107/2000*(L107^2-M107^2)+I107/(3*10^6)*(L107^3-M107^3)+J107/(4*10^9)*(L107^4-M107^4)-(10^6*K107)*(1/M107-1/L107))/1000</f>
        <v>17.899022141836681</v>
      </c>
      <c r="P107" s="15"/>
      <c r="R107" t="s">
        <v>73</v>
      </c>
      <c r="T107">
        <f>U90</f>
        <v>1</v>
      </c>
      <c r="W107">
        <f>AB30/100*AC34-S30/100*T34</f>
        <v>10000.439366666902</v>
      </c>
      <c r="X107" s="12" t="s">
        <v>91</v>
      </c>
      <c r="Y107" t="s">
        <v>94</v>
      </c>
      <c r="Z107" s="5">
        <f>W107*T107</f>
        <v>10000.439366666902</v>
      </c>
      <c r="AA107" t="s">
        <v>95</v>
      </c>
      <c r="AB107" s="15"/>
    </row>
    <row r="108" spans="6:30" x14ac:dyDescent="0.2">
      <c r="F108" t="s">
        <v>55</v>
      </c>
      <c r="G108" s="1">
        <v>19.50583</v>
      </c>
      <c r="H108" s="1">
        <v>19.887049999999999</v>
      </c>
      <c r="I108" s="1">
        <v>-8.598535</v>
      </c>
      <c r="J108" s="1">
        <v>1.3697839999999999</v>
      </c>
      <c r="K108" s="1">
        <v>0.52760099999999999</v>
      </c>
      <c r="L108" s="1">
        <f t="shared" si="38"/>
        <v>1373</v>
      </c>
      <c r="M108" s="1">
        <f t="shared" si="39"/>
        <v>793</v>
      </c>
      <c r="N108">
        <f>(G108*(L108-M108)+H108/2000*(L108^2-M108^2)+I108/(3*10^6)*(L108^3-M108^3)+J108/(4*10^9)*(L108^4-M108^4)-(10^6*K108)*(1/M108-1/L108))/1000</f>
        <v>18.616532342350759</v>
      </c>
      <c r="P108" s="15"/>
      <c r="R108" t="s">
        <v>74</v>
      </c>
      <c r="S108">
        <f>V89</f>
        <v>-1</v>
      </c>
      <c r="U108">
        <f>V95</f>
        <v>-1</v>
      </c>
      <c r="W108">
        <f>AB31/100*AC34-S31/100*T34</f>
        <v>-51633.430295191181</v>
      </c>
      <c r="X108" s="12" t="s">
        <v>91</v>
      </c>
      <c r="Y108" t="s">
        <v>92</v>
      </c>
      <c r="Z108" s="5">
        <f>(W108-(U108*Z111))/S108</f>
        <v>51633.430295191181</v>
      </c>
      <c r="AA108" t="s">
        <v>95</v>
      </c>
      <c r="AB108" s="15"/>
      <c r="AD108" s="7"/>
    </row>
    <row r="109" spans="6:30" x14ac:dyDescent="0.2">
      <c r="F109" t="s">
        <v>59</v>
      </c>
      <c r="G109" s="1">
        <v>25.567589999999999</v>
      </c>
      <c r="H109" s="1">
        <v>6.0961299999999996</v>
      </c>
      <c r="I109" s="1">
        <v>4.0546559999999996</v>
      </c>
      <c r="J109" s="1">
        <v>-2.6713010000000001</v>
      </c>
      <c r="K109" s="1">
        <v>0.131021</v>
      </c>
      <c r="L109" s="1">
        <f t="shared" si="38"/>
        <v>1373</v>
      </c>
      <c r="M109" s="1">
        <f t="shared" si="39"/>
        <v>793</v>
      </c>
      <c r="N109">
        <f>(G109*(L109-M109)+H109/2000*(L109^2-M109^2)+I109/(3*10^6)*(L109^3-M109^3)+J109/(4*10^9)*(L109^4-M109^4)-(10^6*K109)*(1/M109-1/L109))/1000</f>
        <v>19.303673824287412</v>
      </c>
      <c r="P109" s="15"/>
      <c r="R109" t="s">
        <v>75</v>
      </c>
      <c r="V109">
        <f>W96</f>
        <v>-1</v>
      </c>
      <c r="W109">
        <f>AB32/100*AC34-S32/100*T34</f>
        <v>-1931.7699971377263</v>
      </c>
      <c r="X109" s="12" t="s">
        <v>91</v>
      </c>
      <c r="Y109" t="s">
        <v>93</v>
      </c>
      <c r="Z109" s="5">
        <f>W109*V109</f>
        <v>1931.7699971377263</v>
      </c>
      <c r="AA109" t="s">
        <v>95</v>
      </c>
      <c r="AB109" s="15"/>
    </row>
    <row r="110" spans="6:30" x14ac:dyDescent="0.2">
      <c r="F110" t="s">
        <v>56</v>
      </c>
      <c r="G110" s="1">
        <v>24.997350000000001</v>
      </c>
      <c r="H110" s="1">
        <v>55.186959999999999</v>
      </c>
      <c r="I110" s="1">
        <v>-33.691369999999999</v>
      </c>
      <c r="J110" s="1">
        <v>7.9483870000000003</v>
      </c>
      <c r="K110" s="1">
        <v>-0.13663800000000001</v>
      </c>
      <c r="L110" s="1">
        <f t="shared" si="38"/>
        <v>1373</v>
      </c>
      <c r="M110" s="1">
        <f t="shared" si="39"/>
        <v>793</v>
      </c>
      <c r="N110">
        <f>(G110*(L110-M110)+H110/2000*(L110^2-M110^2)+I110/(3*10^6)*(L110^3-M110^3)+J110/(4*10^9)*(L110^4-M110^4)-(10^6*K110)*(1/M110-1/L110))/1000</f>
        <v>32.04493929151495</v>
      </c>
      <c r="P110" s="15"/>
      <c r="R110" t="s">
        <v>76</v>
      </c>
      <c r="S110">
        <f>X89</f>
        <v>-1</v>
      </c>
      <c r="T110">
        <f>X90</f>
        <v>-1</v>
      </c>
      <c r="V110">
        <v>-2</v>
      </c>
      <c r="X110" s="12"/>
      <c r="Z110" s="5"/>
      <c r="AB110" s="15">
        <f>AB33/100*AC34-S33/100*T34</f>
        <v>-65489.956380199204</v>
      </c>
      <c r="AC110">
        <f>S110*Z$108+T110*Z$107+U110*Z$111+V110*Z$109</f>
        <v>-65497.409656133539</v>
      </c>
      <c r="AD110" s="7">
        <f>(AC110-AB110)/AB110</f>
        <v>1.1380792332590646E-4</v>
      </c>
    </row>
    <row r="111" spans="6:30" x14ac:dyDescent="0.2">
      <c r="F111" t="s">
        <v>44</v>
      </c>
      <c r="G111" s="1">
        <v>-0.70302900000000002</v>
      </c>
      <c r="H111" s="1">
        <v>108.4773</v>
      </c>
      <c r="I111" s="1">
        <v>-42.521569999999997</v>
      </c>
      <c r="J111" s="1">
        <v>5.8627880000000001</v>
      </c>
      <c r="K111" s="1">
        <v>0.67856499999999997</v>
      </c>
      <c r="L111" s="1">
        <f t="shared" si="38"/>
        <v>1373</v>
      </c>
      <c r="M111" s="1">
        <f t="shared" si="39"/>
        <v>793</v>
      </c>
      <c r="N111">
        <f>(G111*(L111-M111)+H111/2000*(L111^2-M111^2)+I111/(3*10^6)*(L111^3-M111^3)+J111/(4*10^9)*(L111^4-M111^4)-(10^6*K111)*(1/M111-1/L111))/1000</f>
        <v>42.380994362607822</v>
      </c>
      <c r="P111" s="15"/>
      <c r="R111" t="s">
        <v>89</v>
      </c>
      <c r="U111">
        <f>Y95</f>
        <v>1</v>
      </c>
      <c r="W111">
        <v>0</v>
      </c>
      <c r="X111" s="12" t="s">
        <v>91</v>
      </c>
      <c r="Y111" t="s">
        <v>90</v>
      </c>
      <c r="Z111">
        <v>0</v>
      </c>
      <c r="AA111" t="s">
        <v>95</v>
      </c>
      <c r="AB111" s="15">
        <v>0</v>
      </c>
      <c r="AC111">
        <f>S111*Z$110+T111*Z$107+U111*Z$105+V111*Z$109</f>
        <v>0</v>
      </c>
    </row>
    <row r="112" spans="6:30" x14ac:dyDescent="0.2">
      <c r="F112" t="s">
        <v>148</v>
      </c>
      <c r="G112" s="1"/>
      <c r="H112" s="1"/>
      <c r="I112" s="1"/>
      <c r="J112" s="1"/>
      <c r="K112" s="1"/>
      <c r="L112" s="1">
        <f t="shared" si="38"/>
        <v>1373</v>
      </c>
      <c r="M112" s="1">
        <f t="shared" si="39"/>
        <v>793</v>
      </c>
      <c r="N112" s="2">
        <f>N111</f>
        <v>42.380994362607822</v>
      </c>
      <c r="P112" s="15"/>
    </row>
    <row r="113" spans="6:30" x14ac:dyDescent="0.2">
      <c r="F113" t="s">
        <v>54</v>
      </c>
      <c r="G113" s="1">
        <v>30.091999999999999</v>
      </c>
      <c r="H113" s="1">
        <v>6.8325139999999998</v>
      </c>
      <c r="I113" s="1">
        <v>6.7934349999999997</v>
      </c>
      <c r="J113" s="1">
        <v>-2.5344799999999998</v>
      </c>
      <c r="K113" s="1">
        <v>8.2139000000000004E-2</v>
      </c>
      <c r="L113" s="1">
        <f t="shared" si="38"/>
        <v>1373</v>
      </c>
      <c r="M113" s="1">
        <f t="shared" si="39"/>
        <v>793</v>
      </c>
      <c r="N113">
        <f>(G113*(L113-M113)+H113/2000*(L113^2-M113^2)+I113/(3*10^6)*(L113^3-M113^3)+J113/(4*10^9)*(L113^4-M113^4)-(10^6*K113)*(1/M113-1/L113))/1000</f>
        <v>24.432107791175742</v>
      </c>
      <c r="P113" s="15"/>
    </row>
    <row r="114" spans="6:30" x14ac:dyDescent="0.2">
      <c r="F114" t="s">
        <v>315</v>
      </c>
      <c r="P114" s="16" t="s">
        <v>103</v>
      </c>
    </row>
    <row r="115" spans="6:30" x14ac:dyDescent="0.2">
      <c r="F115" t="s">
        <v>18</v>
      </c>
      <c r="G115" s="1">
        <v>33.066178000000001</v>
      </c>
      <c r="H115" s="1">
        <v>-11.363417</v>
      </c>
      <c r="I115" s="1">
        <v>11.432816000000001</v>
      </c>
      <c r="J115" s="1">
        <v>-2.7728739999999998</v>
      </c>
      <c r="K115" s="1">
        <v>-0.158558</v>
      </c>
      <c r="L115" s="1">
        <f>$AD$24+273</f>
        <v>793</v>
      </c>
      <c r="M115" s="1">
        <f>$AB$35+273</f>
        <v>1373</v>
      </c>
      <c r="N115">
        <f>(G115*(L115-M115)+H115/2000*(L115^2-M115^2)+I115/(3*10^6)*(L115^3-M115^3)+J115/(4*10^9)*(L115^4-M115^4)-(10^6*K115)*(1/M115-1/L115))/1000</f>
        <v>-17.899022141836681</v>
      </c>
      <c r="P115" s="15"/>
      <c r="AB115" s="2" t="s">
        <v>127</v>
      </c>
    </row>
    <row r="116" spans="6:30" x14ac:dyDescent="0.2">
      <c r="F116" t="s">
        <v>55</v>
      </c>
      <c r="G116" s="1">
        <v>19.50583</v>
      </c>
      <c r="H116" s="1">
        <v>19.887049999999999</v>
      </c>
      <c r="I116" s="1">
        <v>-8.598535</v>
      </c>
      <c r="J116" s="1">
        <v>1.3697839999999999</v>
      </c>
      <c r="K116" s="1">
        <v>0.52760099999999999</v>
      </c>
      <c r="L116" s="1">
        <f t="shared" ref="L116:L121" si="40">$AD$24+273</f>
        <v>793</v>
      </c>
      <c r="M116" s="1">
        <f t="shared" ref="M116:M121" si="41">$AB$35+273</f>
        <v>1373</v>
      </c>
      <c r="N116">
        <f>(G116*(L116-M116)+H116/2000*(L116^2-M116^2)+I116/(3*10^6)*(L116^3-M116^3)+J116/(4*10^9)*(L116^4-M116^4)-(10^6*K116)*(1/M116-1/L116))/1000</f>
        <v>-18.616532342350759</v>
      </c>
      <c r="P116" s="15"/>
      <c r="Q116" t="s">
        <v>104</v>
      </c>
      <c r="R116" t="s">
        <v>105</v>
      </c>
      <c r="S116" t="s">
        <v>145</v>
      </c>
      <c r="T116" t="s">
        <v>47</v>
      </c>
      <c r="U116" t="s">
        <v>48</v>
      </c>
      <c r="V116" t="s">
        <v>49</v>
      </c>
      <c r="W116" t="s">
        <v>33</v>
      </c>
      <c r="X116" t="s">
        <v>50</v>
      </c>
      <c r="Y116" t="s">
        <v>109</v>
      </c>
      <c r="Z116" t="s">
        <v>108</v>
      </c>
      <c r="AA116" t="s">
        <v>144</v>
      </c>
      <c r="AB116" t="s">
        <v>107</v>
      </c>
    </row>
    <row r="117" spans="6:30" x14ac:dyDescent="0.2">
      <c r="F117" t="s">
        <v>59</v>
      </c>
      <c r="G117" s="1">
        <v>25.567589999999999</v>
      </c>
      <c r="H117" s="1">
        <v>6.0961299999999996</v>
      </c>
      <c r="I117" s="1">
        <v>4.0546559999999996</v>
      </c>
      <c r="J117" s="1">
        <v>-2.6713010000000001</v>
      </c>
      <c r="K117" s="1">
        <v>0.131021</v>
      </c>
      <c r="L117" s="1">
        <f t="shared" si="40"/>
        <v>793</v>
      </c>
      <c r="M117" s="1">
        <f t="shared" si="41"/>
        <v>1373</v>
      </c>
      <c r="N117">
        <f>(G117*(L117-M117)+H117/2000*(L117^2-M117^2)+I117/(3*10^6)*(L117^3-M117^3)+J117/(4*10^9)*(L117^4-M117^4)-(10^6*K117)*(1/M117-1/L117))/1000</f>
        <v>-19.303673824287412</v>
      </c>
      <c r="P117" s="15" t="s">
        <v>77</v>
      </c>
      <c r="Q117" t="s">
        <v>44</v>
      </c>
      <c r="R117">
        <v>-1</v>
      </c>
      <c r="S117" s="1">
        <v>-74.599999999999994</v>
      </c>
      <c r="T117" s="1">
        <v>-0.70302900000000002</v>
      </c>
      <c r="U117" s="1">
        <v>108.4773</v>
      </c>
      <c r="V117" s="1">
        <v>-42.521569999999997</v>
      </c>
      <c r="W117" s="1">
        <v>5.8627880000000001</v>
      </c>
      <c r="X117" s="1">
        <v>0.67856499999999997</v>
      </c>
      <c r="Y117" s="1">
        <f>$AB$35+273</f>
        <v>1373</v>
      </c>
      <c r="Z117" s="1">
        <v>298</v>
      </c>
      <c r="AA117">
        <f>(T117*(Y117-Z117)+U117/2000*(Y117^2-Z117^2)+V117/(3*10^6)*(Y117^3-Z117^3)+W117/(4*10^9)*(Y117^4-Z117^4)-(10^6*X117)*(1/Z117-1/Y117))/1000</f>
        <v>63.777900485762913</v>
      </c>
      <c r="AB117" t="s">
        <v>57</v>
      </c>
    </row>
    <row r="118" spans="6:30" x14ac:dyDescent="0.2">
      <c r="F118" t="s">
        <v>56</v>
      </c>
      <c r="G118" s="1">
        <v>24.997350000000001</v>
      </c>
      <c r="H118" s="1">
        <v>55.186959999999999</v>
      </c>
      <c r="I118" s="1">
        <v>-33.691369999999999</v>
      </c>
      <c r="J118" s="1">
        <v>7.9483870000000003</v>
      </c>
      <c r="K118" s="1">
        <v>-0.13663800000000001</v>
      </c>
      <c r="L118" s="1">
        <f t="shared" si="40"/>
        <v>793</v>
      </c>
      <c r="M118" s="1">
        <f t="shared" si="41"/>
        <v>1373</v>
      </c>
      <c r="N118">
        <f>(G118*(L118-M118)+H118/2000*(L118^2-M118^2)+I118/(3*10^6)*(L118^3-M118^3)+J118/(4*10^9)*(L118^4-M118^4)-(10^6*K118)*(1/M118-1/L118))/1000</f>
        <v>-32.04493929151495</v>
      </c>
      <c r="P118" s="15"/>
      <c r="Q118" t="s">
        <v>54</v>
      </c>
      <c r="R118">
        <v>-1</v>
      </c>
      <c r="S118" s="1">
        <v>-241.8</v>
      </c>
      <c r="T118" s="1">
        <v>30.091999999999999</v>
      </c>
      <c r="U118" s="1">
        <v>6.8325139999999998</v>
      </c>
      <c r="V118" s="1">
        <v>6.7934349999999997</v>
      </c>
      <c r="W118" s="1">
        <v>-2.5344799999999998</v>
      </c>
      <c r="X118" s="1">
        <v>8.2139000000000004E-2</v>
      </c>
      <c r="Y118" s="1">
        <f>$AB$35+273</f>
        <v>1373</v>
      </c>
      <c r="Z118" s="1">
        <v>298</v>
      </c>
      <c r="AA118">
        <f>(T118*(Y118-Z118)+U118/2000*(Y118^2-Z118^2)+V118/(3*10^6)*(Y118^3-Z118^3)+W118/(4*10^9)*(Y118^4-Z118^4)-(10^6*X118)*(1/Z118-1/Y118))/1000</f>
        <v>41.824274882258663</v>
      </c>
      <c r="AB118" t="s">
        <v>57</v>
      </c>
    </row>
    <row r="119" spans="6:30" x14ac:dyDescent="0.2">
      <c r="F119" t="s">
        <v>44</v>
      </c>
      <c r="G119" s="1">
        <v>-0.70302900000000002</v>
      </c>
      <c r="H119" s="1">
        <v>108.4773</v>
      </c>
      <c r="I119" s="1">
        <v>-42.521569999999997</v>
      </c>
      <c r="J119" s="1">
        <v>5.8627880000000001</v>
      </c>
      <c r="K119" s="1">
        <v>0.67856499999999997</v>
      </c>
      <c r="L119" s="1">
        <f t="shared" si="40"/>
        <v>793</v>
      </c>
      <c r="M119" s="1">
        <f t="shared" si="41"/>
        <v>1373</v>
      </c>
      <c r="N119">
        <f>(G119*(L119-M119)+H119/2000*(L119^2-M119^2)+I119/(3*10^6)*(L119^3-M119^3)+J119/(4*10^9)*(L119^4-M119^4)-(10^6*K119)*(1/M119-1/L119))/1000</f>
        <v>-42.380994362607822</v>
      </c>
      <c r="P119" s="15"/>
      <c r="Q119" t="s">
        <v>59</v>
      </c>
      <c r="R119">
        <v>1</v>
      </c>
      <c r="S119" s="1">
        <v>-110.5</v>
      </c>
      <c r="T119" s="1">
        <v>25.567589999999999</v>
      </c>
      <c r="U119" s="1">
        <v>6.0961299999999996</v>
      </c>
      <c r="V119" s="1">
        <v>4.0546559999999996</v>
      </c>
      <c r="W119" s="1">
        <v>-2.6713010000000001</v>
      </c>
      <c r="X119" s="1">
        <v>0.131021</v>
      </c>
      <c r="Y119" s="1">
        <f>$AB$35+273</f>
        <v>1373</v>
      </c>
      <c r="Z119" s="1">
        <v>298</v>
      </c>
      <c r="AA119">
        <f>(T119*(Y119-Z119)+U119/2000*(Y119^2-Z119^2)+V119/(3*10^6)*(Y119^3-Z119^3)+W119/(4*10^9)*(Y119^4-Z119^4)-(10^6*X119)*(1/Z119-1/Y119))/1000</f>
        <v>33.710672981487647</v>
      </c>
      <c r="AB119" t="s">
        <v>57</v>
      </c>
    </row>
    <row r="120" spans="6:30" x14ac:dyDescent="0.2">
      <c r="F120" t="s">
        <v>148</v>
      </c>
      <c r="G120" s="1"/>
      <c r="H120" s="1"/>
      <c r="I120" s="1"/>
      <c r="J120" s="1"/>
      <c r="K120" s="1"/>
      <c r="L120" s="1">
        <f t="shared" si="40"/>
        <v>793</v>
      </c>
      <c r="M120" s="1">
        <f t="shared" si="41"/>
        <v>1373</v>
      </c>
      <c r="N120" s="2">
        <f>N119</f>
        <v>-42.380994362607822</v>
      </c>
      <c r="P120" s="15"/>
      <c r="Q120" t="s">
        <v>18</v>
      </c>
      <c r="R120">
        <v>3</v>
      </c>
      <c r="S120" s="1">
        <v>0</v>
      </c>
      <c r="T120" s="1">
        <v>33.066178000000001</v>
      </c>
      <c r="U120" s="1">
        <v>-11.363417</v>
      </c>
      <c r="V120" s="1">
        <v>11.432816000000001</v>
      </c>
      <c r="W120" s="1">
        <v>-2.7728739999999998</v>
      </c>
      <c r="X120" s="1">
        <v>-0.158558</v>
      </c>
      <c r="Y120" s="1">
        <f>$AB$35+273</f>
        <v>1373</v>
      </c>
      <c r="Z120" s="1">
        <v>298</v>
      </c>
      <c r="AA120">
        <f>(T120*(Y120-Z120)+U120/2000*(Y120^2-Z120^2)+V120/(3*10^6)*(Y120^3-Z120^3)+W120/(4*10^9)*(Y120^4-Z120^4)-(10^6*X120)*(1/Z120-1/Y120))/1000</f>
        <v>33.061438920161827</v>
      </c>
      <c r="AB120" t="s">
        <v>57</v>
      </c>
    </row>
    <row r="121" spans="6:30" x14ac:dyDescent="0.2">
      <c r="F121" t="s">
        <v>54</v>
      </c>
      <c r="G121" s="1">
        <v>30.091999999999999</v>
      </c>
      <c r="H121" s="1">
        <v>6.8325139999999998</v>
      </c>
      <c r="I121" s="1">
        <v>6.7934349999999997</v>
      </c>
      <c r="J121" s="1">
        <v>-2.5344799999999998</v>
      </c>
      <c r="K121" s="1">
        <v>8.2139000000000004E-2</v>
      </c>
      <c r="L121" s="1">
        <f t="shared" si="40"/>
        <v>793</v>
      </c>
      <c r="M121" s="1">
        <f t="shared" si="41"/>
        <v>1373</v>
      </c>
      <c r="N121">
        <f>(G121*(L121-M121)+H121/2000*(L121^2-M121^2)+I121/(3*10^6)*(L121^3-M121^3)+J121/(4*10^9)*(L121^4-M121^4)-(10^6*K121)*(1/M121-1/L121))/1000</f>
        <v>-24.432107791175742</v>
      </c>
      <c r="P121" s="15"/>
      <c r="S121">
        <f>SUMPRODUCT(R117:R120,S117:S120)</f>
        <v>205.89999999999998</v>
      </c>
      <c r="AA121">
        <f>SUMPRODUCT(R117:R120,AA117:AA120)</f>
        <v>27.292814373951543</v>
      </c>
      <c r="AC121">
        <f>SUM(S121,AA121)</f>
        <v>233.19281437395153</v>
      </c>
      <c r="AD121" t="s">
        <v>112</v>
      </c>
    </row>
    <row r="122" spans="6:30" x14ac:dyDescent="0.2">
      <c r="F122" t="s">
        <v>316</v>
      </c>
      <c r="P122" s="15" t="s">
        <v>66</v>
      </c>
      <c r="Q122" t="s">
        <v>59</v>
      </c>
      <c r="R122">
        <v>-1</v>
      </c>
      <c r="S122" s="1">
        <v>-110.5</v>
      </c>
      <c r="T122" s="1">
        <v>25.567589999999999</v>
      </c>
      <c r="U122" s="1">
        <v>6.0961299999999996</v>
      </c>
      <c r="V122" s="1">
        <v>4.0546559999999996</v>
      </c>
      <c r="W122" s="1">
        <v>-2.6713010000000001</v>
      </c>
      <c r="X122" s="1">
        <v>0.131021</v>
      </c>
      <c r="Y122" s="1">
        <f>$AB$35+273</f>
        <v>1373</v>
      </c>
      <c r="Z122" s="1">
        <v>298</v>
      </c>
      <c r="AA122">
        <f>(T122*(Y122-Z122)+U122/2000*(Y122^2-Z122^2)+V122/(3*10^6)*(Y122^3-Z122^3)+W122/(4*10^9)*(Y122^4-Z122^4)-(10^6*X122)*(1/Z122-1/Y122))/1000</f>
        <v>33.710672981487647</v>
      </c>
      <c r="AB122" t="s">
        <v>57</v>
      </c>
    </row>
    <row r="123" spans="6:30" x14ac:dyDescent="0.2">
      <c r="F123" t="s">
        <v>18</v>
      </c>
      <c r="G123" s="1">
        <v>33.066178000000001</v>
      </c>
      <c r="H123" s="1">
        <v>-11.363417</v>
      </c>
      <c r="I123" s="1">
        <v>11.432816000000001</v>
      </c>
      <c r="J123" s="1">
        <v>-2.7728739999999998</v>
      </c>
      <c r="K123" s="1">
        <v>-0.158558</v>
      </c>
      <c r="L123" s="1">
        <f>$AH$23+273</f>
        <v>586.89263050949205</v>
      </c>
      <c r="M123" s="1">
        <f>$AD$24+273</f>
        <v>793</v>
      </c>
      <c r="N123">
        <f>(G123*(L123-M123)+H123/2000*(L123^2-M123^2)+I123/(3*10^6)*(L123^3-M123^3)+J123/(4*10^9)*(L123^4-M123^4)-(10^6*K123)*(1/M123-1/L123))/1000</f>
        <v>-6.2076423289603984</v>
      </c>
      <c r="P123" s="15"/>
      <c r="Q123" t="s">
        <v>54</v>
      </c>
      <c r="R123">
        <v>-1</v>
      </c>
      <c r="S123" s="1">
        <v>-241.8</v>
      </c>
      <c r="T123" s="1">
        <v>30.091999999999999</v>
      </c>
      <c r="U123" s="1">
        <v>6.8325139999999998</v>
      </c>
      <c r="V123" s="1">
        <v>6.7934349999999997</v>
      </c>
      <c r="W123" s="1">
        <v>-2.5344799999999998</v>
      </c>
      <c r="X123" s="1">
        <v>8.2139000000000004E-2</v>
      </c>
      <c r="Y123" s="1">
        <f>$AB$35+273</f>
        <v>1373</v>
      </c>
      <c r="Z123" s="1">
        <v>298</v>
      </c>
      <c r="AA123">
        <f>(T123*(Y123-Z123)+U123/2000*(Y123^2-Z123^2)+V123/(3*10^6)*(Y123^3-Z123^3)+W123/(4*10^9)*(Y123^4-Z123^4)-(10^6*X123)*(1/Z123-1/Y123))/1000</f>
        <v>41.824274882258663</v>
      </c>
      <c r="AB123" t="s">
        <v>57</v>
      </c>
    </row>
    <row r="124" spans="6:30" x14ac:dyDescent="0.2">
      <c r="F124" t="s">
        <v>55</v>
      </c>
      <c r="G124" s="1">
        <v>19.50583</v>
      </c>
      <c r="H124" s="1">
        <v>19.887049999999999</v>
      </c>
      <c r="I124" s="1">
        <v>-8.598535</v>
      </c>
      <c r="J124" s="1">
        <v>1.3697839999999999</v>
      </c>
      <c r="K124" s="1">
        <v>0.52760099999999999</v>
      </c>
      <c r="L124" s="1">
        <f t="shared" ref="L124:L129" si="42">$AH$23+273</f>
        <v>586.89263050949205</v>
      </c>
      <c r="M124" s="1">
        <f t="shared" ref="M124:M129" si="43">$AD$24+273</f>
        <v>793</v>
      </c>
      <c r="N124">
        <f>(G124*(L124-M124)+H124/2000*(L124^2-M124^2)+I124/(3*10^6)*(L124^3-M124^3)+J124/(4*10^9)*(L124^4-M124^4)-(10^6*K124)*(1/M124-1/L124))/1000</f>
        <v>-5.8595385566568021</v>
      </c>
      <c r="P124" s="15"/>
      <c r="Q124" t="s">
        <v>56</v>
      </c>
      <c r="R124">
        <v>1</v>
      </c>
      <c r="S124" s="1">
        <v>-393.5</v>
      </c>
      <c r="T124" s="1">
        <v>24.997350000000001</v>
      </c>
      <c r="U124" s="1">
        <v>55.186959999999999</v>
      </c>
      <c r="V124" s="1">
        <v>-33.691369999999999</v>
      </c>
      <c r="W124" s="1">
        <v>7.9483870000000003</v>
      </c>
      <c r="X124" s="1">
        <v>-0.13663800000000001</v>
      </c>
      <c r="Y124" s="1">
        <f>$AB$35+273</f>
        <v>1373</v>
      </c>
      <c r="Z124" s="1">
        <v>298</v>
      </c>
      <c r="AA124">
        <f>(T124*(Y124-Z124)+U124/2000*(Y124^2-Z124^2)+V124/(3*10^6)*(Y124^3-Z124^3)+W124/(4*10^9)*(Y124^4-Z124^4)-(10^6*X124)*(1/Z124-1/Y124))/1000</f>
        <v>55.073513935996949</v>
      </c>
      <c r="AB124" t="s">
        <v>57</v>
      </c>
    </row>
    <row r="125" spans="6:30" x14ac:dyDescent="0.2">
      <c r="F125" t="s">
        <v>59</v>
      </c>
      <c r="G125" s="1">
        <v>25.567589999999999</v>
      </c>
      <c r="H125" s="1">
        <v>6.0961299999999996</v>
      </c>
      <c r="I125" s="1">
        <v>4.0546559999999996</v>
      </c>
      <c r="J125" s="1">
        <v>-2.6713010000000001</v>
      </c>
      <c r="K125" s="1">
        <v>0.131021</v>
      </c>
      <c r="L125" s="1">
        <f t="shared" si="42"/>
        <v>586.89263050949205</v>
      </c>
      <c r="M125" s="1">
        <f t="shared" si="43"/>
        <v>793</v>
      </c>
      <c r="N125">
        <f>(G125*(L125-M125)+H125/2000*(L125^2-M125^2)+I125/(3*10^6)*(L125^3-M125^3)+J125/(4*10^9)*(L125^4-M125^4)-(10^6*K125)*(1/M125-1/L125))/1000</f>
        <v>-6.2944433209515953</v>
      </c>
      <c r="P125" s="15"/>
      <c r="Q125" t="s">
        <v>18</v>
      </c>
      <c r="R125">
        <v>1</v>
      </c>
      <c r="S125" s="1">
        <v>0</v>
      </c>
      <c r="T125" s="1">
        <v>33.066178000000001</v>
      </c>
      <c r="U125" s="1">
        <v>-11.363417</v>
      </c>
      <c r="V125" s="1">
        <v>11.432816000000001</v>
      </c>
      <c r="W125" s="1">
        <v>-2.7728739999999998</v>
      </c>
      <c r="X125" s="1">
        <v>-0.158558</v>
      </c>
      <c r="Y125" s="1">
        <f>$AB$35+273</f>
        <v>1373</v>
      </c>
      <c r="Z125" s="1">
        <v>298</v>
      </c>
      <c r="AA125">
        <f>(T125*(Y125-Z125)+U125/2000*(Y125^2-Z125^2)+V125/(3*10^6)*(Y125^3-Z125^3)+W125/(4*10^9)*(Y125^4-Z125^4)-(10^6*X125)*(1/Z125-1/Y125))/1000</f>
        <v>33.061438920161827</v>
      </c>
      <c r="AB125" t="s">
        <v>57</v>
      </c>
    </row>
    <row r="126" spans="6:30" x14ac:dyDescent="0.2">
      <c r="F126" t="s">
        <v>56</v>
      </c>
      <c r="G126" s="1">
        <v>24.997350000000001</v>
      </c>
      <c r="H126" s="1">
        <v>55.186959999999999</v>
      </c>
      <c r="I126" s="1">
        <v>-33.691369999999999</v>
      </c>
      <c r="J126" s="1">
        <v>7.9483870000000003</v>
      </c>
      <c r="K126" s="1">
        <v>-0.13663800000000001</v>
      </c>
      <c r="L126" s="1">
        <f t="shared" si="42"/>
        <v>586.89263050949205</v>
      </c>
      <c r="M126" s="1">
        <f t="shared" si="43"/>
        <v>793</v>
      </c>
      <c r="N126">
        <f>(G126*(L126-M126)+H126/2000*(L126^2-M126^2)+I126/(3*10^6)*(L126^3-M126^3)+J126/(4*10^9)*(L126^4-M126^4)-(10^6*K126)*(1/M126-1/L126))/1000</f>
        <v>-10.280324859683002</v>
      </c>
      <c r="P126" s="15"/>
      <c r="S126">
        <f>SUMPRODUCT(R122:R125,S122:S125)</f>
        <v>-41.199999999999989</v>
      </c>
      <c r="AA126">
        <f>SUMPRODUCT(R122:R125,AA122:AA125)</f>
        <v>12.600004992412465</v>
      </c>
      <c r="AC126">
        <f>SUM(S126,AA126)</f>
        <v>-28.599995007587523</v>
      </c>
      <c r="AD126" t="s">
        <v>112</v>
      </c>
    </row>
    <row r="127" spans="6:30" x14ac:dyDescent="0.2">
      <c r="F127" t="s">
        <v>44</v>
      </c>
      <c r="G127" s="1">
        <v>-0.70302900000000002</v>
      </c>
      <c r="H127" s="1">
        <v>108.4773</v>
      </c>
      <c r="I127" s="1">
        <v>-42.521569999999997</v>
      </c>
      <c r="J127" s="1">
        <v>5.8627880000000001</v>
      </c>
      <c r="K127" s="1">
        <v>0.67856499999999997</v>
      </c>
      <c r="L127" s="1">
        <f t="shared" si="42"/>
        <v>586.89263050949205</v>
      </c>
      <c r="M127" s="1">
        <f t="shared" si="43"/>
        <v>793</v>
      </c>
      <c r="N127">
        <f>(G127*(L127-M127)+H127/2000*(L127^2-M127^2)+I127/(3*10^6)*(L127^3-M127^3)+J127/(4*10^9)*(L127^4-M127^4)-(10^6*K127)*(1/M127-1/L127))/1000</f>
        <v>-11.183193806483354</v>
      </c>
      <c r="P127" s="15" t="s">
        <v>82</v>
      </c>
      <c r="Q127" t="s">
        <v>44</v>
      </c>
      <c r="R127">
        <v>-1</v>
      </c>
    </row>
    <row r="128" spans="6:30" x14ac:dyDescent="0.2">
      <c r="F128" t="s">
        <v>148</v>
      </c>
      <c r="G128" s="1"/>
      <c r="H128" s="1"/>
      <c r="I128" s="1"/>
      <c r="J128" s="1"/>
      <c r="K128" s="1"/>
      <c r="L128" s="1">
        <f t="shared" si="42"/>
        <v>586.89263050949205</v>
      </c>
      <c r="M128" s="1">
        <f t="shared" si="43"/>
        <v>793</v>
      </c>
      <c r="N128" s="2">
        <f>N127</f>
        <v>-11.183193806483354</v>
      </c>
      <c r="P128" s="15"/>
      <c r="Q128" t="s">
        <v>49</v>
      </c>
      <c r="R128">
        <v>1</v>
      </c>
    </row>
    <row r="129" spans="6:30" x14ac:dyDescent="0.2">
      <c r="F129" t="s">
        <v>54</v>
      </c>
      <c r="G129" s="1">
        <v>30.091999999999999</v>
      </c>
      <c r="H129" s="1">
        <v>6.8325139999999998</v>
      </c>
      <c r="I129" s="1">
        <v>6.7934349999999997</v>
      </c>
      <c r="J129" s="1">
        <v>-2.5344799999999998</v>
      </c>
      <c r="K129" s="1">
        <v>8.2139000000000004E-2</v>
      </c>
      <c r="L129" s="1">
        <f t="shared" si="42"/>
        <v>586.89263050949205</v>
      </c>
      <c r="M129" s="1">
        <f t="shared" si="43"/>
        <v>793</v>
      </c>
      <c r="N129">
        <f>(G129*(L129-M129)+H129/2000*(L129^2-M129^2)+I129/(3*10^6)*(L129^3-M129^3)+J129/(4*10^9)*(L129^4-M129^4)-(10^6*K129)*(1/M129-1/L129))/1000</f>
        <v>-7.633496193591319</v>
      </c>
      <c r="P129" s="15"/>
      <c r="Q129" t="s">
        <v>18</v>
      </c>
      <c r="R129">
        <v>2</v>
      </c>
    </row>
    <row r="130" spans="6:30" x14ac:dyDescent="0.2">
      <c r="F130" t="s">
        <v>181</v>
      </c>
      <c r="P130" s="15"/>
      <c r="AC130" t="s">
        <v>113</v>
      </c>
    </row>
    <row r="131" spans="6:30" x14ac:dyDescent="0.2">
      <c r="F131" t="s">
        <v>18</v>
      </c>
      <c r="G131" s="1">
        <v>33.066178000000001</v>
      </c>
      <c r="H131" s="1">
        <v>-11.363417</v>
      </c>
      <c r="I131" s="1">
        <v>11.432816000000001</v>
      </c>
      <c r="J131" s="1">
        <v>-2.7728739999999998</v>
      </c>
      <c r="K131" s="1">
        <v>-0.158558</v>
      </c>
      <c r="L131" s="1">
        <f t="shared" ref="L131:L137" si="44">$AU$35+273</f>
        <v>293</v>
      </c>
      <c r="M131" s="1">
        <f>$AI$23+273</f>
        <v>713</v>
      </c>
      <c r="N131">
        <f>(G131*(L131-M131)+H131/2000*(L131^2-M131^2)+I131/(3*10^6)*(L131^3-M131^3)+J131/(4*10^9)*(L131^4-M131^4)-(10^6*K131)*(1/M131-1/L131))/1000</f>
        <v>-12.917366163509556</v>
      </c>
      <c r="P131" s="15" t="s">
        <v>83</v>
      </c>
      <c r="Q131" t="s">
        <v>60</v>
      </c>
      <c r="R131">
        <v>-1</v>
      </c>
      <c r="S131" s="1">
        <v>-84</v>
      </c>
      <c r="T131" t="s">
        <v>57</v>
      </c>
      <c r="U131" t="s">
        <v>57</v>
      </c>
      <c r="V131" t="s">
        <v>57</v>
      </c>
      <c r="W131" t="s">
        <v>57</v>
      </c>
      <c r="X131" t="s">
        <v>57</v>
      </c>
      <c r="Y131" s="1">
        <f>$AB$35+273</f>
        <v>1373</v>
      </c>
      <c r="Z131" s="1">
        <v>298</v>
      </c>
      <c r="AA131" s="2">
        <f>AA117</f>
        <v>63.777900485762913</v>
      </c>
      <c r="AB131" t="s">
        <v>57</v>
      </c>
    </row>
    <row r="132" spans="6:30" x14ac:dyDescent="0.2">
      <c r="F132" t="s">
        <v>55</v>
      </c>
      <c r="G132" s="1">
        <v>19.50583</v>
      </c>
      <c r="H132" s="1">
        <v>19.887049999999999</v>
      </c>
      <c r="I132" s="1">
        <v>-8.598535</v>
      </c>
      <c r="J132" s="1">
        <v>1.3697839999999999</v>
      </c>
      <c r="K132" s="1">
        <v>0.52760099999999999</v>
      </c>
      <c r="L132" s="1">
        <f t="shared" si="44"/>
        <v>293</v>
      </c>
      <c r="M132" s="1">
        <f t="shared" ref="M132:M137" si="45">$AI$23+273</f>
        <v>713</v>
      </c>
      <c r="N132">
        <f>(G132*(L132-M132)+H132/2000*(L132^2-M132^2)+I132/(3*10^6)*(L132^3-M132^3)+J132/(4*10^9)*(L132^4-M132^4)-(10^6*K132)*(1/M132-1/L132))/1000</f>
        <v>-10.452251512685796</v>
      </c>
      <c r="P132" s="15"/>
      <c r="Q132" t="s">
        <v>54</v>
      </c>
      <c r="R132">
        <v>-2</v>
      </c>
      <c r="S132" s="1">
        <v>-241.8</v>
      </c>
      <c r="T132" s="1">
        <v>30.091999999999999</v>
      </c>
      <c r="U132" s="1">
        <v>6.8325139999999998</v>
      </c>
      <c r="V132" s="1">
        <v>6.7934349999999997</v>
      </c>
      <c r="W132" s="1">
        <v>-2.5344799999999998</v>
      </c>
      <c r="X132" s="1">
        <v>8.2139000000000004E-2</v>
      </c>
      <c r="Y132" s="1">
        <f>$AB$35+273</f>
        <v>1373</v>
      </c>
      <c r="Z132" s="1">
        <v>298</v>
      </c>
      <c r="AA132">
        <f>(T132*(Y132-Z132)+U132/2000*(Y132^2-Z132^2)+V132/(3*10^6)*(Y132^3-Z132^3)+W132/(4*10^9)*(Y132^4-Z132^4)-(10^6*X132)*(1/Z132-1/Y132))/1000</f>
        <v>41.824274882258663</v>
      </c>
      <c r="AB132" t="s">
        <v>57</v>
      </c>
    </row>
    <row r="133" spans="6:30" x14ac:dyDescent="0.2">
      <c r="F133" t="s">
        <v>59</v>
      </c>
      <c r="G133" s="1">
        <v>25.567589999999999</v>
      </c>
      <c r="H133" s="1">
        <v>6.0961299999999996</v>
      </c>
      <c r="I133" s="1">
        <v>4.0546559999999996</v>
      </c>
      <c r="J133" s="1">
        <v>-2.6713010000000001</v>
      </c>
      <c r="K133" s="1">
        <v>0.131021</v>
      </c>
      <c r="L133" s="1">
        <f t="shared" si="44"/>
        <v>293</v>
      </c>
      <c r="M133" s="1">
        <f t="shared" si="45"/>
        <v>713</v>
      </c>
      <c r="N133">
        <f>(G133*(L133-M133)+H133/2000*(L133^2-M133^2)+I133/(3*10^6)*(L133^3-M133^3)+J133/(4*10^9)*(L133^4-M133^4)-(10^6*K133)*(1/M133-1/L133))/1000</f>
        <v>-12.051072052355872</v>
      </c>
      <c r="P133" s="15"/>
      <c r="Q133" t="s">
        <v>59</v>
      </c>
      <c r="R133">
        <v>2</v>
      </c>
      <c r="S133" s="1">
        <v>-110.5</v>
      </c>
      <c r="T133" s="1">
        <v>25.567589999999999</v>
      </c>
      <c r="U133" s="1">
        <v>6.0961299999999996</v>
      </c>
      <c r="V133" s="1">
        <v>4.0546559999999996</v>
      </c>
      <c r="W133" s="1">
        <v>-2.6713010000000001</v>
      </c>
      <c r="X133" s="1">
        <v>0.131021</v>
      </c>
      <c r="Y133" s="1">
        <f>$AB$35+273</f>
        <v>1373</v>
      </c>
      <c r="Z133" s="1">
        <v>298</v>
      </c>
      <c r="AA133">
        <f>(T133*(Y133-Z133)+U133/2000*(Y133^2-Z133^2)+V133/(3*10^6)*(Y133^3-Z133^3)+W133/(4*10^9)*(Y133^4-Z133^4)-(10^6*X133)*(1/Z133-1/Y133))/1000</f>
        <v>33.710672981487647</v>
      </c>
      <c r="AB133" t="s">
        <v>57</v>
      </c>
    </row>
    <row r="134" spans="6:30" x14ac:dyDescent="0.2">
      <c r="F134" t="s">
        <v>56</v>
      </c>
      <c r="G134" s="1">
        <v>24.997350000000001</v>
      </c>
      <c r="H134" s="1">
        <v>55.186959999999999</v>
      </c>
      <c r="I134" s="1">
        <v>-33.691369999999999</v>
      </c>
      <c r="J134" s="1">
        <v>7.9483870000000003</v>
      </c>
      <c r="K134" s="1">
        <v>-0.13663800000000001</v>
      </c>
      <c r="L134" s="1">
        <f t="shared" si="44"/>
        <v>293</v>
      </c>
      <c r="M134" s="1">
        <f t="shared" si="45"/>
        <v>713</v>
      </c>
      <c r="N134">
        <f>(G134*(L134-M134)+H134/2000*(L134^2-M134^2)+I134/(3*10^6)*(L134^3-M134^3)+J134/(4*10^9)*(L134^4-M134^4)-(10^6*K134)*(1/M134-1/L134))/1000</f>
        <v>-19.14310284268517</v>
      </c>
      <c r="P134" s="15"/>
      <c r="Q134" t="s">
        <v>18</v>
      </c>
      <c r="R134">
        <v>5</v>
      </c>
      <c r="S134" s="1">
        <v>0</v>
      </c>
      <c r="T134" s="1">
        <v>33.066178000000001</v>
      </c>
      <c r="U134" s="1">
        <v>-11.363417</v>
      </c>
      <c r="V134" s="1">
        <v>11.432816000000001</v>
      </c>
      <c r="W134" s="1">
        <v>-2.7728739999999998</v>
      </c>
      <c r="X134" s="1">
        <v>-0.158558</v>
      </c>
      <c r="Y134" s="1">
        <f>$AB$35+273</f>
        <v>1373</v>
      </c>
      <c r="Z134" s="1">
        <v>298</v>
      </c>
      <c r="AA134">
        <f>(T134*(Y134-Z134)+U134/2000*(Y134^2-Z134^2)+V134/(3*10^6)*(Y134^3-Z134^3)+W134/(4*10^9)*(Y134^4-Z134^4)-(10^6*X134)*(1/Z134-1/Y134))/1000</f>
        <v>33.061438920161827</v>
      </c>
      <c r="AB134" t="s">
        <v>57</v>
      </c>
    </row>
    <row r="135" spans="6:30" x14ac:dyDescent="0.2">
      <c r="F135" t="s">
        <v>44</v>
      </c>
      <c r="G135" s="1">
        <v>-0.70302900000000002</v>
      </c>
      <c r="H135" s="1">
        <v>108.4773</v>
      </c>
      <c r="I135" s="1">
        <v>-42.521569999999997</v>
      </c>
      <c r="J135" s="1">
        <v>5.8627880000000001</v>
      </c>
      <c r="K135" s="1">
        <v>0.67856499999999997</v>
      </c>
      <c r="L135" s="1">
        <f t="shared" si="44"/>
        <v>293</v>
      </c>
      <c r="M135" s="1">
        <f t="shared" si="45"/>
        <v>713</v>
      </c>
      <c r="N135">
        <f>(G135*(L135-M135)+H135/2000*(L135^2-M135^2)+I135/(3*10^6)*(L135^3-M135^3)+J135/(4*10^9)*(L135^4-M135^4)-(10^6*K135)*(1/M135-1/L135))/1000</f>
        <v>-16.844384915198077</v>
      </c>
      <c r="P135" s="15"/>
      <c r="S135">
        <f>SUMPRODUCT(R131:R134,S131:S134)</f>
        <v>346.6</v>
      </c>
      <c r="AA135">
        <f>SUMPRODUCT(R131:R134,AA131:AA134)</f>
        <v>85.302090313504181</v>
      </c>
      <c r="AC135">
        <f>SUM(S135,AA135)</f>
        <v>431.90209031350423</v>
      </c>
      <c r="AD135" t="s">
        <v>112</v>
      </c>
    </row>
    <row r="136" spans="6:30" x14ac:dyDescent="0.2">
      <c r="F136" t="s">
        <v>148</v>
      </c>
      <c r="G136" s="1"/>
      <c r="H136" s="1"/>
      <c r="I136" s="1"/>
      <c r="J136" s="1"/>
      <c r="K136" s="1"/>
      <c r="L136" s="1">
        <f t="shared" si="44"/>
        <v>293</v>
      </c>
      <c r="M136" s="1">
        <f t="shared" si="45"/>
        <v>713</v>
      </c>
      <c r="N136" s="2">
        <f>N135</f>
        <v>-16.844384915198077</v>
      </c>
      <c r="P136" s="15"/>
    </row>
    <row r="137" spans="6:30" x14ac:dyDescent="0.2">
      <c r="F137" t="s">
        <v>54</v>
      </c>
      <c r="G137" s="1">
        <v>30.091999999999999</v>
      </c>
      <c r="H137" s="1">
        <v>6.8325139999999998</v>
      </c>
      <c r="I137" s="1">
        <v>6.7934349999999997</v>
      </c>
      <c r="J137" s="1">
        <v>-2.5344799999999998</v>
      </c>
      <c r="K137" s="1">
        <v>8.2139000000000004E-2</v>
      </c>
      <c r="L137" s="1">
        <f t="shared" si="44"/>
        <v>293</v>
      </c>
      <c r="M137" s="1">
        <f t="shared" si="45"/>
        <v>713</v>
      </c>
      <c r="N137">
        <f>(G137*(L137-M137)+H137/2000*(L137^2-M137^2)+I137/(3*10^6)*(L137^3-M137^3)+J137/(4*10^9)*(L137^4-M137^4)-(10^6*K137)*(1/M137-1/L137))/1000</f>
        <v>-14.521697404151334</v>
      </c>
      <c r="P137" s="15" t="s">
        <v>66</v>
      </c>
      <c r="Q137" t="s">
        <v>59</v>
      </c>
      <c r="R137">
        <v>-1</v>
      </c>
      <c r="S137" s="1">
        <v>-110.5</v>
      </c>
      <c r="T137" s="1">
        <v>25.567589999999999</v>
      </c>
      <c r="U137" s="1">
        <v>6.0961299999999996</v>
      </c>
      <c r="V137" s="1">
        <v>4.0546559999999996</v>
      </c>
      <c r="W137" s="1">
        <v>-2.6713010000000001</v>
      </c>
      <c r="X137" s="1">
        <v>0.131021</v>
      </c>
      <c r="Y137" s="1">
        <f>$AI$23+273</f>
        <v>713</v>
      </c>
      <c r="Z137" s="1">
        <v>298</v>
      </c>
      <c r="AA137">
        <f>(T137*(Y137-Z137)+U137/2000*(Y137^2-Z137^2)+V137/(3*10^6)*(Y137^3-Z137^3)+W137/(4*10^9)*(Y137^4-Z137^4)-(10^6*X137)*(1/Z137-1/Y137))/1000</f>
        <v>11.920304287750628</v>
      </c>
      <c r="AB137" t="s">
        <v>57</v>
      </c>
    </row>
    <row r="138" spans="6:30" x14ac:dyDescent="0.2">
      <c r="F138" t="s">
        <v>213</v>
      </c>
      <c r="P138" s="15"/>
      <c r="Q138" t="s">
        <v>54</v>
      </c>
      <c r="R138">
        <v>-1</v>
      </c>
      <c r="S138" s="1">
        <v>-241.8</v>
      </c>
      <c r="T138" s="1">
        <v>30.091999999999999</v>
      </c>
      <c r="U138" s="1">
        <v>6.8325139999999998</v>
      </c>
      <c r="V138" s="1">
        <v>6.7934349999999997</v>
      </c>
      <c r="W138" s="1">
        <v>-2.5344799999999998</v>
      </c>
      <c r="X138" s="1">
        <v>8.2139000000000004E-2</v>
      </c>
      <c r="Y138" s="1">
        <f t="shared" ref="Y138:Y140" si="46">$AI$23+273</f>
        <v>713</v>
      </c>
      <c r="Z138" s="1">
        <v>298</v>
      </c>
      <c r="AA138">
        <f>(T138*(Y138-Z138)+U138/2000*(Y138^2-Z138^2)+V138/(3*10^6)*(Y138^3-Z138^3)+W138/(4*10^9)*(Y138^4-Z138^4)-(10^6*X138)*(1/Z138-1/Y138))/1000</f>
        <v>14.363206938547773</v>
      </c>
      <c r="AB138" t="s">
        <v>57</v>
      </c>
    </row>
    <row r="139" spans="6:30" x14ac:dyDescent="0.2">
      <c r="F139" t="s">
        <v>18</v>
      </c>
      <c r="G139" s="1">
        <v>33.066178000000001</v>
      </c>
      <c r="H139" s="1">
        <v>-11.363417</v>
      </c>
      <c r="I139" s="1">
        <v>11.432816000000001</v>
      </c>
      <c r="J139" s="1">
        <v>-2.7728739999999998</v>
      </c>
      <c r="K139" s="1">
        <v>-0.158558</v>
      </c>
      <c r="L139" s="1">
        <f>$AI$23+273</f>
        <v>713</v>
      </c>
      <c r="M139" s="1">
        <f>$AH$23+273</f>
        <v>586.89263050949205</v>
      </c>
      <c r="N139">
        <f>(G139*(L139-M139)+H139/2000*(L139^2-M139^2)+I139/(3*10^6)*(L139^3-M139^3)+J139/(4*10^9)*(L139^4-M139^4)-(10^6*K139)*(1/M139-1/L139))/1000</f>
        <v>3.8003365836004184</v>
      </c>
      <c r="P139" s="15"/>
      <c r="Q139" t="s">
        <v>56</v>
      </c>
      <c r="R139">
        <v>1</v>
      </c>
      <c r="S139" s="1">
        <v>-393.5</v>
      </c>
      <c r="T139" s="1">
        <v>24.997350000000001</v>
      </c>
      <c r="U139" s="1">
        <v>55.186959999999999</v>
      </c>
      <c r="V139" s="1">
        <v>-33.691369999999999</v>
      </c>
      <c r="W139" s="1">
        <v>7.9483870000000003</v>
      </c>
      <c r="X139" s="1">
        <v>-0.13663800000000001</v>
      </c>
      <c r="Y139" s="1">
        <f t="shared" si="46"/>
        <v>713</v>
      </c>
      <c r="Z139" s="1">
        <v>298</v>
      </c>
      <c r="AA139">
        <f>(T139*(Y139-Z139)+U139/2000*(Y139^2-Z139^2)+V139/(3*10^6)*(Y139^3-Z139^3)+W139/(4*10^9)*(Y139^4-Z139^4)-(10^6*X139)*(1/Z139-1/Y139))/1000</f>
        <v>18.942437346220668</v>
      </c>
      <c r="AB139" t="s">
        <v>57</v>
      </c>
    </row>
    <row r="140" spans="6:30" x14ac:dyDescent="0.2">
      <c r="F140" t="s">
        <v>55</v>
      </c>
      <c r="G140" s="1">
        <v>19.50583</v>
      </c>
      <c r="H140" s="1">
        <v>19.887049999999999</v>
      </c>
      <c r="I140" s="1">
        <v>-8.598535</v>
      </c>
      <c r="J140" s="1">
        <v>1.3697839999999999</v>
      </c>
      <c r="K140" s="1">
        <v>0.52760099999999999</v>
      </c>
      <c r="L140" s="1">
        <f t="shared" ref="L140:L145" si="47">$AI$23+273</f>
        <v>713</v>
      </c>
      <c r="M140" s="1">
        <f t="shared" ref="M140:M145" si="48">$AH$23+273</f>
        <v>586.89263050949205</v>
      </c>
      <c r="N140">
        <f>(G140*(L140-M140)+H140/2000*(L140^2-M140^2)+I140/(3*10^6)*(L140^3-M140^3)+J140/(4*10^9)*(L140^4-M140^4)-(10^6*K140)*(1/M140-1/L140))/1000</f>
        <v>3.5192101815561934</v>
      </c>
      <c r="P140" s="15"/>
      <c r="Q140" t="s">
        <v>18</v>
      </c>
      <c r="R140">
        <v>1</v>
      </c>
      <c r="S140" s="1">
        <v>0</v>
      </c>
      <c r="T140" s="1">
        <v>33.066178000000001</v>
      </c>
      <c r="U140" s="1">
        <v>-11.363417</v>
      </c>
      <c r="V140" s="1">
        <v>11.432816000000001</v>
      </c>
      <c r="W140" s="1">
        <v>-2.7728739999999998</v>
      </c>
      <c r="X140" s="1">
        <v>-0.158558</v>
      </c>
      <c r="Y140" s="1">
        <f t="shared" si="46"/>
        <v>713</v>
      </c>
      <c r="Z140" s="1">
        <v>298</v>
      </c>
      <c r="AA140">
        <f>(T140*(Y140-Z140)+U140/2000*(Y140^2-Z140^2)+V140/(3*10^6)*(Y140^3-Z140^3)+W140/(4*10^9)*(Y140^4-Z140^4)-(10^6*X140)*(1/Z140-1/Y140))/1000</f>
        <v>12.755111032965171</v>
      </c>
      <c r="AB140" t="s">
        <v>57</v>
      </c>
    </row>
    <row r="141" spans="6:30" x14ac:dyDescent="0.2">
      <c r="F141" t="s">
        <v>59</v>
      </c>
      <c r="G141" s="1">
        <v>25.567589999999999</v>
      </c>
      <c r="H141" s="1">
        <v>6.0961299999999996</v>
      </c>
      <c r="I141" s="1">
        <v>4.0546559999999996</v>
      </c>
      <c r="J141" s="1">
        <v>-2.6713010000000001</v>
      </c>
      <c r="K141" s="1">
        <v>0.131021</v>
      </c>
      <c r="L141" s="1">
        <f t="shared" si="47"/>
        <v>713</v>
      </c>
      <c r="M141" s="1">
        <f t="shared" si="48"/>
        <v>586.89263050949205</v>
      </c>
      <c r="N141">
        <f>(G141*(L141-M141)+H141/2000*(L141^2-M141^2)+I141/(3*10^6)*(L141^3-M141^3)+J141/(4*10^9)*(L141^4-M141^4)-(10^6*K141)*(1/M141-1/L141))/1000</f>
        <v>3.8077484515020008</v>
      </c>
      <c r="P141" s="15"/>
      <c r="S141">
        <f>SUMPRODUCT(R137:R140,S137:S140)</f>
        <v>-41.199999999999989</v>
      </c>
      <c r="AA141">
        <f>SUMPRODUCT(R137:R140,AA137:AA140)</f>
        <v>5.4140371528874383</v>
      </c>
      <c r="AC141">
        <f>SUM(S141,AA141)</f>
        <v>-35.78596284711255</v>
      </c>
      <c r="AD141" t="s">
        <v>112</v>
      </c>
    </row>
    <row r="142" spans="6:30" x14ac:dyDescent="0.2">
      <c r="F142" t="s">
        <v>56</v>
      </c>
      <c r="G142" s="1">
        <v>24.997350000000001</v>
      </c>
      <c r="H142" s="1">
        <v>55.186959999999999</v>
      </c>
      <c r="I142" s="1">
        <v>-33.691369999999999</v>
      </c>
      <c r="J142" s="1">
        <v>7.9483870000000003</v>
      </c>
      <c r="K142" s="1">
        <v>-0.13663800000000001</v>
      </c>
      <c r="L142" s="1">
        <f t="shared" si="47"/>
        <v>713</v>
      </c>
      <c r="M142" s="1">
        <f t="shared" si="48"/>
        <v>586.89263050949205</v>
      </c>
      <c r="N142">
        <f>(G142*(L142-M142)+H142/2000*(L142^2-M142^2)+I142/(3*10^6)*(L142^3-M142^3)+J142/(4*10^9)*(L142^4-M142^4)-(10^6*K142)*(1/M142-1/L142))/1000</f>
        <v>6.1941875614216677</v>
      </c>
    </row>
    <row r="143" spans="6:30" x14ac:dyDescent="0.2">
      <c r="F143" t="s">
        <v>44</v>
      </c>
      <c r="G143" s="1">
        <v>-0.70302900000000002</v>
      </c>
      <c r="H143" s="1">
        <v>108.4773</v>
      </c>
      <c r="I143" s="1">
        <v>-42.521569999999997</v>
      </c>
      <c r="J143" s="1">
        <v>5.8627880000000001</v>
      </c>
      <c r="K143" s="1">
        <v>0.67856499999999997</v>
      </c>
      <c r="L143" s="1">
        <f t="shared" si="47"/>
        <v>713</v>
      </c>
      <c r="M143" s="1">
        <f t="shared" si="48"/>
        <v>586.89263050949205</v>
      </c>
      <c r="N143">
        <f>(G143*(L143-M143)+H143/2000*(L143^2-M143^2)+I143/(3*10^6)*(L143^3-M143^3)+J143/(4*10^9)*(L143^4-M143^4)-(10^6*K143)*(1/M143-1/L143))/1000</f>
        <v>6.5305792439831336</v>
      </c>
    </row>
    <row r="144" spans="6:30" x14ac:dyDescent="0.2">
      <c r="F144" t="s">
        <v>148</v>
      </c>
      <c r="G144" s="1"/>
      <c r="H144" s="1"/>
      <c r="I144" s="1"/>
      <c r="J144" s="1"/>
      <c r="K144" s="1"/>
      <c r="L144" s="1">
        <f t="shared" si="47"/>
        <v>713</v>
      </c>
      <c r="M144" s="1">
        <f t="shared" si="48"/>
        <v>586.89263050949205</v>
      </c>
      <c r="N144" s="2">
        <f>N143</f>
        <v>6.5305792439831336</v>
      </c>
    </row>
    <row r="145" spans="6:14" x14ac:dyDescent="0.2">
      <c r="F145" t="s">
        <v>54</v>
      </c>
      <c r="G145" s="1">
        <v>30.091999999999999</v>
      </c>
      <c r="H145" s="1">
        <v>6.8325139999999998</v>
      </c>
      <c r="I145" s="1">
        <v>6.7934349999999997</v>
      </c>
      <c r="J145" s="1">
        <v>-2.5344799999999998</v>
      </c>
      <c r="K145" s="1">
        <v>8.2139000000000004E-2</v>
      </c>
      <c r="L145" s="1">
        <f t="shared" si="47"/>
        <v>713</v>
      </c>
      <c r="M145" s="1">
        <f t="shared" si="48"/>
        <v>586.89263050949205</v>
      </c>
      <c r="N145">
        <f>(G145*(L145-M145)+H145/2000*(L145^2-M145^2)+I145/(3*10^6)*(L145^3-M145^3)+J145/(4*10^9)*(L145^4-M145^4)-(10^6*K145)*(1/M145-1/L145))/1000</f>
        <v>4.6045360410561669</v>
      </c>
    </row>
    <row r="146" spans="6:14" x14ac:dyDescent="0.2">
      <c r="F146" t="s">
        <v>158</v>
      </c>
      <c r="G146" s="1"/>
      <c r="H146" s="1"/>
      <c r="I146" s="1"/>
      <c r="J146" s="1"/>
      <c r="K146" s="1"/>
      <c r="L146" s="1"/>
      <c r="M146" s="1"/>
    </row>
    <row r="147" spans="6:14" x14ac:dyDescent="0.2">
      <c r="F147" t="s">
        <v>160</v>
      </c>
      <c r="G147" s="1">
        <v>19.50583</v>
      </c>
      <c r="H147" s="1">
        <v>19.887049999999999</v>
      </c>
      <c r="I147" s="1">
        <v>-8.598535</v>
      </c>
      <c r="J147" s="1">
        <v>1.3697839999999999</v>
      </c>
      <c r="K147" s="1">
        <v>0.52760099999999999</v>
      </c>
      <c r="L147" s="1">
        <f>500+273</f>
        <v>773</v>
      </c>
      <c r="M147" s="1">
        <f>20+273</f>
        <v>293</v>
      </c>
      <c r="N147">
        <f>(G147*(L147-M147)+H147/2000*(L147^2-M147^2)+I147/(3*10^6)*(L147^3-M147^3)+J147/(4*10^9)*(L147^4-M147^4)-(10^6*K147)*(1/M147-1/L147))/1000</f>
        <v>12.200531800964121</v>
      </c>
    </row>
    <row r="148" spans="6:14" x14ac:dyDescent="0.2">
      <c r="F148" t="s">
        <v>159</v>
      </c>
      <c r="G148" s="1">
        <v>30.032350000000001</v>
      </c>
      <c r="H148" s="1">
        <v>8.7729719999999993</v>
      </c>
      <c r="I148" s="1">
        <v>-3.9881329999999999</v>
      </c>
      <c r="J148" s="1">
        <v>0.78831300000000004</v>
      </c>
      <c r="K148" s="1">
        <v>-0.74159900000000001</v>
      </c>
      <c r="L148" s="1">
        <f>500+273</f>
        <v>773</v>
      </c>
      <c r="M148" s="1">
        <f>20+273</f>
        <v>293</v>
      </c>
      <c r="N148">
        <f>(G148*(L148-M148)+H148/2000*(L148^2-M148^2)+I148/(3*10^6)*(L148^3-M148^3)+J148/(4*10^9)*(L148^4-M148^4)-(10^6*K148)*(1/M148-1/L148))/1000</f>
        <v>17.720007237816304</v>
      </c>
    </row>
    <row r="149" spans="6:14" x14ac:dyDescent="0.2">
      <c r="F149" t="s">
        <v>26</v>
      </c>
      <c r="G149" s="1"/>
      <c r="H149" s="1"/>
      <c r="I149" s="1"/>
      <c r="J149" s="1"/>
      <c r="K149" s="1"/>
      <c r="L149" s="1"/>
      <c r="M149" s="1"/>
    </row>
    <row r="150" spans="6:14" x14ac:dyDescent="0.2">
      <c r="F150" t="s">
        <v>153</v>
      </c>
      <c r="G150" s="1">
        <v>19.50583</v>
      </c>
      <c r="H150" s="1">
        <v>19.887049999999999</v>
      </c>
      <c r="I150" s="1">
        <v>-8.598535</v>
      </c>
      <c r="J150" s="1">
        <v>1.3697839999999999</v>
      </c>
      <c r="K150" s="1">
        <v>0.52760099999999999</v>
      </c>
      <c r="L150" s="1">
        <f>$AB$35+273</f>
        <v>1373</v>
      </c>
      <c r="M150" s="1">
        <f>$AX$50+273</f>
        <v>293</v>
      </c>
      <c r="N150">
        <f>(G150*(L150-M150)+H150/2000*(L150^2-M150^2)+I150/(3*10^6)*(L150^3-M150^3)+J150/(4*10^9)*(L150^4-M150^4)-(10^6*K150)*(1/M150-1/L150))/1000</f>
        <v>31.409112230137154</v>
      </c>
    </row>
    <row r="151" spans="6:14" x14ac:dyDescent="0.2">
      <c r="F151" t="s">
        <v>151</v>
      </c>
      <c r="G151" s="1">
        <v>24.997350000000001</v>
      </c>
      <c r="H151" s="1">
        <v>55.186959999999999</v>
      </c>
      <c r="I151" s="1">
        <v>-33.691369999999999</v>
      </c>
      <c r="J151" s="1">
        <v>7.9483870000000003</v>
      </c>
      <c r="K151" s="1">
        <v>-0.13663800000000001</v>
      </c>
      <c r="L151" s="1">
        <f>$AB$35+273</f>
        <v>1373</v>
      </c>
      <c r="M151" s="1">
        <f>$AX$50+273</f>
        <v>293</v>
      </c>
      <c r="N151">
        <f>(G151*(L151-M151)+H151/2000*(L151^2-M151^2)+I151/(3*10^6)*(L151^3-M151^3)+J151/(4*10^9)*(L151^4-M151^4)-(10^6*K151)*(1/M151-1/L151))/1000</f>
        <v>55.274179432461459</v>
      </c>
    </row>
    <row r="152" spans="6:14" x14ac:dyDescent="0.2">
      <c r="F152" t="s">
        <v>152</v>
      </c>
      <c r="G152" s="1">
        <v>30.091999999999999</v>
      </c>
      <c r="H152" s="1">
        <v>6.8325139999999998</v>
      </c>
      <c r="I152" s="1">
        <v>6.7934349999999997</v>
      </c>
      <c r="J152" s="1">
        <v>-2.5344799999999998</v>
      </c>
      <c r="K152" s="1">
        <v>8.2139000000000004E-2</v>
      </c>
      <c r="L152" s="1">
        <f>$AB$35+273</f>
        <v>1373</v>
      </c>
      <c r="M152" s="1">
        <f>100+273</f>
        <v>373</v>
      </c>
      <c r="N152">
        <f>(G152*(L152-M152)+H152/2000*(L152^2-M152^2)+I152/(3*10^6)*(L152^3-M152^3)+J152/(4*10^9)*(L152^4-M152^4)-(10^6*K152)*(1/M152-1/L152))/1000</f>
        <v>39.400553126146733</v>
      </c>
    </row>
    <row r="154" spans="6:14" x14ac:dyDescent="0.2">
      <c r="G154" s="1"/>
      <c r="H154" s="1"/>
      <c r="I154" s="1"/>
      <c r="J154" s="1"/>
      <c r="K154" s="1"/>
      <c r="L154" s="1"/>
      <c r="M154" s="1"/>
    </row>
    <row r="156" spans="6:14" x14ac:dyDescent="0.2">
      <c r="F156" s="14" t="s">
        <v>147</v>
      </c>
    </row>
    <row r="157" spans="6:14" x14ac:dyDescent="0.2">
      <c r="F157" s="2" t="s">
        <v>118</v>
      </c>
      <c r="K157" s="2"/>
      <c r="L157" s="2"/>
      <c r="M157" s="2"/>
    </row>
    <row r="158" spans="6:14" x14ac:dyDescent="0.2">
      <c r="F158" s="21" t="s">
        <v>150</v>
      </c>
      <c r="I158" t="s">
        <v>18</v>
      </c>
      <c r="J158" t="s">
        <v>55</v>
      </c>
      <c r="K158" t="s">
        <v>56</v>
      </c>
      <c r="L158" t="s">
        <v>44</v>
      </c>
      <c r="M158" t="s">
        <v>54</v>
      </c>
    </row>
    <row r="159" spans="6:14" x14ac:dyDescent="0.2">
      <c r="H159" t="s">
        <v>47</v>
      </c>
      <c r="I159" s="1">
        <v>33.066178000000001</v>
      </c>
      <c r="J159" s="1">
        <v>19.50583</v>
      </c>
      <c r="K159" s="1">
        <v>24.997350000000001</v>
      </c>
      <c r="L159" s="1">
        <v>-0.70302900000000002</v>
      </c>
      <c r="M159" s="1">
        <v>30.091999999999999</v>
      </c>
    </row>
    <row r="160" spans="6:14" x14ac:dyDescent="0.2">
      <c r="H160" t="s">
        <v>48</v>
      </c>
      <c r="I160" s="1">
        <v>-11.363417</v>
      </c>
      <c r="J160" s="1">
        <v>19.887049999999999</v>
      </c>
      <c r="K160" s="1">
        <v>55.186959999999999</v>
      </c>
      <c r="L160" s="1">
        <v>108.4773</v>
      </c>
      <c r="M160" s="1">
        <v>6.8325139999999998</v>
      </c>
    </row>
    <row r="161" spans="6:13" x14ac:dyDescent="0.2">
      <c r="H161" t="s">
        <v>49</v>
      </c>
      <c r="I161" s="1">
        <v>11.432816000000001</v>
      </c>
      <c r="J161" s="1">
        <v>-8.598535</v>
      </c>
      <c r="K161" s="1">
        <v>-33.691369999999999</v>
      </c>
      <c r="L161" s="1">
        <v>-42.521569999999997</v>
      </c>
      <c r="M161" s="1">
        <v>6.7934349999999997</v>
      </c>
    </row>
    <row r="162" spans="6:13" x14ac:dyDescent="0.2">
      <c r="H162" t="s">
        <v>33</v>
      </c>
      <c r="I162" s="1">
        <v>-2.7728739999999998</v>
      </c>
      <c r="J162" s="1">
        <v>1.3697839999999999</v>
      </c>
      <c r="K162" s="1">
        <v>7.9483870000000003</v>
      </c>
      <c r="L162" s="1">
        <v>5.8627880000000001</v>
      </c>
      <c r="M162" s="1">
        <v>-2.5344799999999998</v>
      </c>
    </row>
    <row r="163" spans="6:13" x14ac:dyDescent="0.2">
      <c r="H163" t="s">
        <v>50</v>
      </c>
      <c r="I163" s="1">
        <v>-0.158558</v>
      </c>
      <c r="J163" s="1">
        <v>0.52760099999999999</v>
      </c>
      <c r="K163" s="1">
        <v>-0.13663800000000001</v>
      </c>
      <c r="L163" s="1">
        <v>0.67856499999999997</v>
      </c>
      <c r="M163" s="1">
        <v>8.2139000000000004E-2</v>
      </c>
    </row>
    <row r="164" spans="6:13" x14ac:dyDescent="0.2">
      <c r="H164" t="s">
        <v>142</v>
      </c>
      <c r="I164" s="1">
        <v>298</v>
      </c>
      <c r="J164" s="1">
        <v>500</v>
      </c>
      <c r="K164" s="1">
        <v>298</v>
      </c>
      <c r="L164" s="1">
        <v>298</v>
      </c>
      <c r="M164" s="1">
        <v>500</v>
      </c>
    </row>
    <row r="165" spans="6:13" x14ac:dyDescent="0.2">
      <c r="H165" t="s">
        <v>141</v>
      </c>
      <c r="I165" s="20">
        <v>1000</v>
      </c>
      <c r="J165" s="1">
        <v>2000</v>
      </c>
      <c r="K165" s="1">
        <v>1200</v>
      </c>
      <c r="L165" s="1">
        <v>1300</v>
      </c>
      <c r="M165" s="1">
        <v>1700</v>
      </c>
    </row>
    <row r="166" spans="6:13" x14ac:dyDescent="0.2">
      <c r="F166" t="s">
        <v>51</v>
      </c>
      <c r="G166" t="s">
        <v>52</v>
      </c>
      <c r="H166" t="s">
        <v>53</v>
      </c>
      <c r="I166" t="s">
        <v>43</v>
      </c>
    </row>
    <row r="167" spans="6:13" x14ac:dyDescent="0.2">
      <c r="F167">
        <v>298</v>
      </c>
      <c r="G167">
        <f t="shared" ref="G167:G230" si="49">F167/1000</f>
        <v>0.29799999999999999</v>
      </c>
      <c r="H167">
        <f>F167-273</f>
        <v>25</v>
      </c>
      <c r="I167" s="17">
        <f t="shared" ref="I167:M176" si="50">(I$159+I$160*$G167+I$161*($G167^2)+I$162*($G167^3)+I$163/($G167^2))/1000</f>
        <v>2.8836296683943292E-2</v>
      </c>
      <c r="J167" s="17">
        <f t="shared" si="50"/>
        <v>3.0646021084517201E-2</v>
      </c>
      <c r="K167" s="17">
        <f t="shared" si="50"/>
        <v>3.7122831621349162E-2</v>
      </c>
      <c r="L167" s="17">
        <f t="shared" si="50"/>
        <v>3.5643424878976322E-2</v>
      </c>
      <c r="M167" s="17">
        <f t="shared" si="50"/>
        <v>3.3589249003543944E-2</v>
      </c>
    </row>
    <row r="168" spans="6:13" x14ac:dyDescent="0.2">
      <c r="F168">
        <v>774</v>
      </c>
      <c r="G168">
        <f t="shared" si="49"/>
        <v>0.77400000000000002</v>
      </c>
      <c r="H168">
        <f>F168-273</f>
        <v>501</v>
      </c>
      <c r="I168" s="17">
        <f t="shared" si="50"/>
        <v>2.9569608400791592E-2</v>
      </c>
      <c r="J168" s="17">
        <f t="shared" si="50"/>
        <v>3.1263070063845412E-2</v>
      </c>
      <c r="K168" s="17">
        <f t="shared" si="50"/>
        <v>5.0985831047941417E-2</v>
      </c>
      <c r="L168" s="17">
        <f t="shared" si="50"/>
        <v>6.163592095572077E-2</v>
      </c>
      <c r="M168" s="17">
        <f t="shared" si="50"/>
        <v>3.8412059271263982E-2</v>
      </c>
    </row>
    <row r="169" spans="6:13" x14ac:dyDescent="0.2">
      <c r="F169">
        <v>775</v>
      </c>
      <c r="G169">
        <f t="shared" si="49"/>
        <v>0.77500000000000002</v>
      </c>
      <c r="H169">
        <f t="shared" ref="H169:H232" si="51">F169-273</f>
        <v>502</v>
      </c>
      <c r="I169" s="17">
        <f t="shared" si="50"/>
        <v>2.9571647068682785E-2</v>
      </c>
      <c r="J169" s="17">
        <f t="shared" si="50"/>
        <v>3.1269831693938342E-2</v>
      </c>
      <c r="K169" s="17">
        <f t="shared" si="50"/>
        <v>5.1003721820607389E-2</v>
      </c>
      <c r="L169" s="17">
        <f t="shared" si="50"/>
        <v>6.1686161554991341E-2</v>
      </c>
      <c r="M169" s="17">
        <f t="shared" si="50"/>
        <v>3.8424500287417403E-2</v>
      </c>
    </row>
    <row r="170" spans="6:13" x14ac:dyDescent="0.2">
      <c r="F170">
        <v>776</v>
      </c>
      <c r="G170">
        <f t="shared" si="49"/>
        <v>0.77600000000000002</v>
      </c>
      <c r="H170">
        <f t="shared" si="51"/>
        <v>503</v>
      </c>
      <c r="I170" s="17">
        <f t="shared" si="50"/>
        <v>2.9573693071198132E-2</v>
      </c>
      <c r="J170" s="17">
        <f t="shared" si="50"/>
        <v>3.1276591271540324E-2</v>
      </c>
      <c r="K170" s="17">
        <f t="shared" si="50"/>
        <v>5.102157989796359E-2</v>
      </c>
      <c r="L170" s="17">
        <f t="shared" si="50"/>
        <v>6.173635565900959E-2</v>
      </c>
      <c r="M170" s="17">
        <f t="shared" si="50"/>
        <v>3.843694447124834E-2</v>
      </c>
    </row>
    <row r="171" spans="6:13" x14ac:dyDescent="0.2">
      <c r="F171">
        <v>777</v>
      </c>
      <c r="G171">
        <f t="shared" si="49"/>
        <v>0.77700000000000002</v>
      </c>
      <c r="H171">
        <f t="shared" si="51"/>
        <v>504</v>
      </c>
      <c r="I171" s="17">
        <f t="shared" si="50"/>
        <v>2.9575746405267663E-2</v>
      </c>
      <c r="J171" s="17">
        <f t="shared" si="50"/>
        <v>3.1283348759724973E-2</v>
      </c>
      <c r="K171" s="17">
        <f t="shared" si="50"/>
        <v>5.1039405339392004E-2</v>
      </c>
      <c r="L171" s="17">
        <f t="shared" si="50"/>
        <v>6.1786503244889636E-2</v>
      </c>
      <c r="M171" s="17">
        <f t="shared" si="50"/>
        <v>3.8449391800521551E-2</v>
      </c>
    </row>
    <row r="172" spans="6:13" x14ac:dyDescent="0.2">
      <c r="F172">
        <v>778</v>
      </c>
      <c r="G172">
        <f t="shared" si="49"/>
        <v>0.77800000000000002</v>
      </c>
      <c r="H172">
        <f t="shared" si="51"/>
        <v>505</v>
      </c>
      <c r="I172" s="17">
        <f t="shared" si="50"/>
        <v>2.9577807067734288E-2</v>
      </c>
      <c r="J172" s="17">
        <f t="shared" si="50"/>
        <v>3.1290104121855851E-2</v>
      </c>
      <c r="K172" s="17">
        <f t="shared" si="50"/>
        <v>5.105719820419951E-2</v>
      </c>
      <c r="L172" s="17">
        <f t="shared" si="50"/>
        <v>6.183660429011853E-2</v>
      </c>
      <c r="M172" s="17">
        <f t="shared" si="50"/>
        <v>3.8461842253046948E-2</v>
      </c>
    </row>
    <row r="173" spans="6:13" x14ac:dyDescent="0.2">
      <c r="F173">
        <v>779</v>
      </c>
      <c r="G173">
        <f t="shared" si="49"/>
        <v>0.77900000000000003</v>
      </c>
      <c r="H173">
        <f t="shared" si="51"/>
        <v>506</v>
      </c>
      <c r="I173" s="17">
        <f t="shared" si="50"/>
        <v>2.9579875055354463E-2</v>
      </c>
      <c r="J173" s="17">
        <f t="shared" si="50"/>
        <v>3.1296857321584229E-2</v>
      </c>
      <c r="K173" s="17">
        <f t="shared" si="50"/>
        <v>5.1074958551618505E-2</v>
      </c>
      <c r="L173" s="17">
        <f t="shared" si="50"/>
        <v>6.1886658772553386E-2</v>
      </c>
      <c r="M173" s="17">
        <f t="shared" si="50"/>
        <v>3.8474295806679194E-2</v>
      </c>
    </row>
    <row r="174" spans="6:13" x14ac:dyDescent="0.2">
      <c r="F174">
        <v>780</v>
      </c>
      <c r="G174">
        <f t="shared" si="49"/>
        <v>0.78</v>
      </c>
      <c r="H174">
        <f t="shared" si="51"/>
        <v>507</v>
      </c>
      <c r="I174" s="17">
        <f t="shared" si="50"/>
        <v>2.9581950364798815E-2</v>
      </c>
      <c r="J174" s="17">
        <f t="shared" si="50"/>
        <v>3.1303608322846892E-2</v>
      </c>
      <c r="K174" s="17">
        <f t="shared" si="50"/>
        <v>5.109268644080743E-2</v>
      </c>
      <c r="L174" s="17">
        <f t="shared" si="50"/>
        <v>6.1936666670418472E-2</v>
      </c>
      <c r="M174" s="17">
        <f t="shared" si="50"/>
        <v>3.848675243931745E-2</v>
      </c>
    </row>
    <row r="175" spans="6:13" x14ac:dyDescent="0.2">
      <c r="F175">
        <v>781</v>
      </c>
      <c r="G175">
        <f t="shared" si="49"/>
        <v>0.78100000000000003</v>
      </c>
      <c r="H175">
        <f t="shared" si="51"/>
        <v>508</v>
      </c>
      <c r="I175" s="17">
        <f t="shared" si="50"/>
        <v>2.9584032992652842E-2</v>
      </c>
      <c r="J175" s="17">
        <f t="shared" si="50"/>
        <v>3.131035708986394E-2</v>
      </c>
      <c r="K175" s="17">
        <f t="shared" si="50"/>
        <v>5.1110381930851372E-2</v>
      </c>
      <c r="L175" s="17">
        <f t="shared" si="50"/>
        <v>6.1986627962302476E-2</v>
      </c>
      <c r="M175" s="17">
        <f t="shared" si="50"/>
        <v>3.849921212890494E-2</v>
      </c>
    </row>
    <row r="176" spans="6:13" x14ac:dyDescent="0.2">
      <c r="F176">
        <v>782</v>
      </c>
      <c r="G176">
        <f t="shared" si="49"/>
        <v>0.78200000000000003</v>
      </c>
      <c r="H176">
        <f t="shared" si="51"/>
        <v>509</v>
      </c>
      <c r="I176" s="17">
        <f t="shared" si="50"/>
        <v>2.9586122935417552E-2</v>
      </c>
      <c r="J176" s="17">
        <f t="shared" si="50"/>
        <v>3.1317103587136609E-2</v>
      </c>
      <c r="K176" s="17">
        <f t="shared" si="50"/>
        <v>5.1128045080762567E-2</v>
      </c>
      <c r="L176" s="17">
        <f t="shared" si="50"/>
        <v>6.2036542627155647E-2</v>
      </c>
      <c r="M176" s="17">
        <f t="shared" si="50"/>
        <v>3.8511674853428685E-2</v>
      </c>
    </row>
    <row r="177" spans="6:13" x14ac:dyDescent="0.2">
      <c r="F177">
        <v>783</v>
      </c>
      <c r="G177">
        <f t="shared" si="49"/>
        <v>0.78300000000000003</v>
      </c>
      <c r="H177">
        <f t="shared" si="51"/>
        <v>510</v>
      </c>
      <c r="I177" s="17">
        <f t="shared" ref="I177:M186" si="52">(I$159+I$160*$G177+I$161*($G177^2)+I$162*($G177^3)+I$163/($G177^2))/1000</f>
        <v>2.9588220189510114E-2</v>
      </c>
      <c r="J177" s="17">
        <f t="shared" si="52"/>
        <v>3.1323847779445128E-2</v>
      </c>
      <c r="K177" s="17">
        <f t="shared" si="52"/>
        <v>5.1145675949481058E-2</v>
      </c>
      <c r="L177" s="17">
        <f t="shared" si="52"/>
        <v>6.2086410644287056E-2</v>
      </c>
      <c r="M177" s="17">
        <f t="shared" si="52"/>
        <v>3.8524140590919138E-2</v>
      </c>
    </row>
    <row r="178" spans="6:13" x14ac:dyDescent="0.2">
      <c r="F178">
        <v>784</v>
      </c>
      <c r="G178">
        <f t="shared" si="49"/>
        <v>0.78400000000000003</v>
      </c>
      <c r="H178">
        <f t="shared" si="51"/>
        <v>511</v>
      </c>
      <c r="I178" s="17">
        <f t="shared" si="52"/>
        <v>2.9590324751264482E-2</v>
      </c>
      <c r="J178" s="17">
        <f t="shared" si="52"/>
        <v>3.1330589631846574E-2</v>
      </c>
      <c r="K178" s="17">
        <f t="shared" si="52"/>
        <v>5.1163274595875136E-2</v>
      </c>
      <c r="L178" s="17">
        <f t="shared" si="52"/>
        <v>6.2136231993361865E-2</v>
      </c>
      <c r="M178" s="17">
        <f t="shared" si="52"/>
        <v>3.8536609319449848E-2</v>
      </c>
    </row>
    <row r="179" spans="6:13" x14ac:dyDescent="0.2">
      <c r="F179">
        <v>785</v>
      </c>
      <c r="G179">
        <f t="shared" si="49"/>
        <v>0.78500000000000003</v>
      </c>
      <c r="H179">
        <f t="shared" si="51"/>
        <v>512</v>
      </c>
      <c r="I179" s="17">
        <f t="shared" si="52"/>
        <v>2.959243661693205E-2</v>
      </c>
      <c r="J179" s="17">
        <f t="shared" si="52"/>
        <v>3.1337329109672761E-2</v>
      </c>
      <c r="K179" s="17">
        <f t="shared" si="52"/>
        <v>5.1180841078741948E-2</v>
      </c>
      <c r="L179" s="17">
        <f t="shared" si="52"/>
        <v>6.2186006654398523E-2</v>
      </c>
      <c r="M179" s="17">
        <f t="shared" si="52"/>
        <v>3.854908101713711E-2</v>
      </c>
    </row>
    <row r="180" spans="6:13" x14ac:dyDescent="0.2">
      <c r="F180">
        <v>786</v>
      </c>
      <c r="G180">
        <f t="shared" si="49"/>
        <v>0.78600000000000003</v>
      </c>
      <c r="H180">
        <f t="shared" si="51"/>
        <v>513</v>
      </c>
      <c r="I180" s="17">
        <f t="shared" si="52"/>
        <v>2.9594555782682278E-2</v>
      </c>
      <c r="J180" s="17">
        <f t="shared" si="52"/>
        <v>3.1344066178528147E-2</v>
      </c>
      <c r="K180" s="17">
        <f t="shared" si="52"/>
        <v>5.1198375456808075E-2</v>
      </c>
      <c r="L180" s="17">
        <f t="shared" si="52"/>
        <v>6.2235734607766234E-2</v>
      </c>
      <c r="M180" s="17">
        <f t="shared" si="52"/>
        <v>3.8561555662139722E-2</v>
      </c>
    </row>
    <row r="181" spans="6:13" x14ac:dyDescent="0.2">
      <c r="F181">
        <v>787</v>
      </c>
      <c r="G181">
        <f t="shared" si="49"/>
        <v>0.78700000000000003</v>
      </c>
      <c r="H181">
        <f t="shared" si="51"/>
        <v>514</v>
      </c>
      <c r="I181" s="17">
        <f t="shared" si="52"/>
        <v>2.9596682244603319E-2</v>
      </c>
      <c r="J181" s="17">
        <f t="shared" si="52"/>
        <v>3.135080080428778E-2</v>
      </c>
      <c r="K181" s="17">
        <f t="shared" si="52"/>
        <v>5.1215877788729949E-2</v>
      </c>
      <c r="L181" s="17">
        <f t="shared" si="52"/>
        <v>6.2285415834182116E-2</v>
      </c>
      <c r="M181" s="17">
        <f t="shared" si="52"/>
        <v>3.857403323265856E-2</v>
      </c>
    </row>
    <row r="182" spans="6:13" x14ac:dyDescent="0.2">
      <c r="F182">
        <v>788</v>
      </c>
      <c r="G182">
        <f t="shared" si="49"/>
        <v>0.78800000000000003</v>
      </c>
      <c r="H182">
        <f t="shared" si="51"/>
        <v>515</v>
      </c>
      <c r="I182" s="17">
        <f t="shared" si="52"/>
        <v>2.9598815998702611E-2</v>
      </c>
      <c r="J182" s="17">
        <f t="shared" si="52"/>
        <v>3.1357532953095187E-2</v>
      </c>
      <c r="K182" s="17">
        <f t="shared" si="52"/>
        <v>5.1233348133094568E-2</v>
      </c>
      <c r="L182" s="17">
        <f t="shared" si="52"/>
        <v>6.2335050314708623E-2</v>
      </c>
      <c r="M182" s="17">
        <f t="shared" si="52"/>
        <v>3.8586513706936325E-2</v>
      </c>
    </row>
    <row r="183" spans="6:13" x14ac:dyDescent="0.2">
      <c r="F183">
        <v>789</v>
      </c>
      <c r="G183">
        <f t="shared" si="49"/>
        <v>0.78900000000000003</v>
      </c>
      <c r="H183">
        <f t="shared" si="51"/>
        <v>516</v>
      </c>
      <c r="I183" s="17">
        <f t="shared" si="52"/>
        <v>2.9600957040907538E-2</v>
      </c>
      <c r="J183" s="17">
        <f t="shared" si="52"/>
        <v>3.1364262591360374E-2</v>
      </c>
      <c r="K183" s="17">
        <f t="shared" si="52"/>
        <v>5.1250786548419809E-2</v>
      </c>
      <c r="L183" s="17">
        <f t="shared" si="52"/>
        <v>6.2384638030750943E-2</v>
      </c>
      <c r="M183" s="17">
        <f t="shared" si="52"/>
        <v>3.8598997063257173E-2</v>
      </c>
    </row>
    <row r="184" spans="6:13" x14ac:dyDescent="0.2">
      <c r="F184">
        <v>790</v>
      </c>
      <c r="G184">
        <f t="shared" si="49"/>
        <v>0.79</v>
      </c>
      <c r="H184">
        <f t="shared" si="51"/>
        <v>517</v>
      </c>
      <c r="I184" s="17">
        <f t="shared" si="52"/>
        <v>2.9603105367065993E-2</v>
      </c>
      <c r="J184" s="17">
        <f t="shared" si="52"/>
        <v>3.1370989685757779E-2</v>
      </c>
      <c r="K184" s="17">
        <f t="shared" si="52"/>
        <v>5.1268193093155161E-2</v>
      </c>
      <c r="L184" s="17">
        <f t="shared" si="52"/>
        <v>6.2434178964054392E-2</v>
      </c>
      <c r="M184" s="17">
        <f t="shared" si="52"/>
        <v>3.8611483279946485E-2</v>
      </c>
    </row>
    <row r="185" spans="6:13" x14ac:dyDescent="0.2">
      <c r="F185">
        <v>791</v>
      </c>
      <c r="G185">
        <f t="shared" si="49"/>
        <v>0.79100000000000004</v>
      </c>
      <c r="H185">
        <f t="shared" si="51"/>
        <v>518</v>
      </c>
      <c r="I185" s="17">
        <f t="shared" si="52"/>
        <v>2.9605260972947009E-2</v>
      </c>
      <c r="J185" s="17">
        <f t="shared" si="52"/>
        <v>3.1377714203224299E-2</v>
      </c>
      <c r="K185" s="17">
        <f t="shared" si="52"/>
        <v>5.1285567825682089E-2</v>
      </c>
      <c r="L185" s="17">
        <f t="shared" si="52"/>
        <v>6.2483673096701782E-2</v>
      </c>
      <c r="M185" s="17">
        <f t="shared" si="52"/>
        <v>3.8623972335370432E-2</v>
      </c>
    </row>
    <row r="186" spans="6:13" x14ac:dyDescent="0.2">
      <c r="F186">
        <v>792</v>
      </c>
      <c r="G186">
        <f t="shared" si="49"/>
        <v>0.79200000000000004</v>
      </c>
      <c r="H186">
        <f t="shared" si="51"/>
        <v>519</v>
      </c>
      <c r="I186" s="17">
        <f t="shared" si="52"/>
        <v>2.9607423854241342E-2</v>
      </c>
      <c r="J186" s="17">
        <f t="shared" si="52"/>
        <v>3.1384436110957287E-2</v>
      </c>
      <c r="K186" s="17">
        <f t="shared" si="52"/>
        <v>5.1302910804314601E-2</v>
      </c>
      <c r="L186" s="17">
        <f t="shared" si="52"/>
        <v>6.2533120411110893E-2</v>
      </c>
      <c r="M186" s="17">
        <f t="shared" si="52"/>
        <v>3.8636464207935796E-2</v>
      </c>
    </row>
    <row r="187" spans="6:13" x14ac:dyDescent="0.2">
      <c r="F187">
        <v>793</v>
      </c>
      <c r="G187">
        <f t="shared" si="49"/>
        <v>0.79300000000000004</v>
      </c>
      <c r="H187">
        <f t="shared" si="51"/>
        <v>520</v>
      </c>
      <c r="I187" s="17">
        <f t="shared" ref="I187:M196" si="53">(I$159+I$160*$G187+I$161*($G187^2)+I$162*($G187^3)+I$163/($G187^2))/1000</f>
        <v>2.9609594006562066E-2</v>
      </c>
      <c r="J187" s="17">
        <f t="shared" si="53"/>
        <v>3.1391155376412537E-2</v>
      </c>
      <c r="K187" s="17">
        <f t="shared" si="53"/>
        <v>5.1320222087299791E-2</v>
      </c>
      <c r="L187" s="17">
        <f t="shared" si="53"/>
        <v>6.2582520890032009E-2</v>
      </c>
      <c r="M187" s="17">
        <f t="shared" si="53"/>
        <v>3.8648958876089531E-2</v>
      </c>
    </row>
    <row r="188" spans="6:13" x14ac:dyDescent="0.2">
      <c r="F188">
        <v>794</v>
      </c>
      <c r="G188">
        <f t="shared" si="49"/>
        <v>0.79400000000000004</v>
      </c>
      <c r="H188">
        <f t="shared" si="51"/>
        <v>521</v>
      </c>
      <c r="I188" s="17">
        <f t="shared" si="53"/>
        <v>2.9611771425445157E-2</v>
      </c>
      <c r="J188" s="17">
        <f t="shared" si="53"/>
        <v>3.1397871967302433E-2</v>
      </c>
      <c r="K188" s="17">
        <f t="shared" si="53"/>
        <v>5.1337501732818321E-2</v>
      </c>
      <c r="L188" s="17">
        <f t="shared" si="53"/>
        <v>6.2631874516545311E-2</v>
      </c>
      <c r="M188" s="17">
        <f t="shared" si="53"/>
        <v>3.8661456318318604E-2</v>
      </c>
    </row>
    <row r="189" spans="6:13" x14ac:dyDescent="0.2">
      <c r="F189">
        <v>795</v>
      </c>
      <c r="G189">
        <f t="shared" si="49"/>
        <v>0.79500000000000004</v>
      </c>
      <c r="H189">
        <f t="shared" si="51"/>
        <v>522</v>
      </c>
      <c r="I189" s="17">
        <f t="shared" si="53"/>
        <v>2.9613956106350092E-2</v>
      </c>
      <c r="J189" s="17">
        <f t="shared" si="53"/>
        <v>3.1404585851593919E-2</v>
      </c>
      <c r="K189" s="17">
        <f t="shared" si="53"/>
        <v>5.135474979898489E-2</v>
      </c>
      <c r="L189" s="17">
        <f t="shared" si="53"/>
        <v>6.2681181274058403E-2</v>
      </c>
      <c r="M189" s="17">
        <f t="shared" si="53"/>
        <v>3.8673956513149581E-2</v>
      </c>
    </row>
    <row r="190" spans="6:13" x14ac:dyDescent="0.2">
      <c r="F190">
        <v>796</v>
      </c>
      <c r="G190">
        <f t="shared" si="49"/>
        <v>0.79600000000000004</v>
      </c>
      <c r="H190">
        <f t="shared" si="51"/>
        <v>523</v>
      </c>
      <c r="I190" s="17">
        <f t="shared" si="53"/>
        <v>2.9616148044660395E-2</v>
      </c>
      <c r="J190" s="17">
        <f t="shared" si="53"/>
        <v>3.1411296997506617E-2</v>
      </c>
      <c r="K190" s="17">
        <f t="shared" si="53"/>
        <v>5.137196634384876E-2</v>
      </c>
      <c r="L190" s="17">
        <f t="shared" si="53"/>
        <v>6.2730441146303911E-2</v>
      </c>
      <c r="M190" s="17">
        <f t="shared" si="53"/>
        <v>3.8686459439148363E-2</v>
      </c>
    </row>
    <row r="191" spans="6:13" x14ac:dyDescent="0.2">
      <c r="F191">
        <v>797</v>
      </c>
      <c r="G191">
        <f t="shared" si="49"/>
        <v>0.79700000000000004</v>
      </c>
      <c r="H191">
        <f t="shared" si="51"/>
        <v>524</v>
      </c>
      <c r="I191" s="17">
        <f t="shared" si="53"/>
        <v>2.9618347235684236E-2</v>
      </c>
      <c r="J191" s="17">
        <f t="shared" si="53"/>
        <v>3.141800537351095E-2</v>
      </c>
      <c r="K191" s="17">
        <f t="shared" si="53"/>
        <v>5.1389151425394283E-2</v>
      </c>
      <c r="L191" s="17">
        <f t="shared" si="53"/>
        <v>6.2779654117336964E-2</v>
      </c>
      <c r="M191" s="17">
        <f t="shared" si="53"/>
        <v>3.8698965074919905E-2</v>
      </c>
    </row>
    <row r="192" spans="6:13" x14ac:dyDescent="0.2">
      <c r="F192">
        <v>798</v>
      </c>
      <c r="G192">
        <f t="shared" si="49"/>
        <v>0.79800000000000004</v>
      </c>
      <c r="H192">
        <f t="shared" si="51"/>
        <v>525</v>
      </c>
      <c r="I192" s="17">
        <f t="shared" si="53"/>
        <v>2.9620553674654972E-2</v>
      </c>
      <c r="J192" s="17">
        <f t="shared" si="53"/>
        <v>3.1424710948326204E-2</v>
      </c>
      <c r="K192" s="17">
        <f t="shared" si="53"/>
        <v>5.1406305101541323E-2</v>
      </c>
      <c r="L192" s="17">
        <f t="shared" si="53"/>
        <v>6.2828820171532809E-2</v>
      </c>
      <c r="M192" s="17">
        <f t="shared" si="53"/>
        <v>3.8711473399107882E-2</v>
      </c>
    </row>
    <row r="193" spans="6:13" x14ac:dyDescent="0.2">
      <c r="F193">
        <v>799</v>
      </c>
      <c r="G193">
        <f t="shared" si="49"/>
        <v>0.79900000000000004</v>
      </c>
      <c r="H193">
        <f t="shared" si="51"/>
        <v>526</v>
      </c>
      <c r="I193" s="17">
        <f t="shared" si="53"/>
        <v>2.9622767356731746E-2</v>
      </c>
      <c r="J193" s="17">
        <f t="shared" si="53"/>
        <v>3.1431413690918723E-2</v>
      </c>
      <c r="K193" s="17">
        <f t="shared" si="53"/>
        <v>5.1423427430145753E-2</v>
      </c>
      <c r="L193" s="17">
        <f t="shared" si="53"/>
        <v>6.2877939293584373E-2</v>
      </c>
      <c r="M193" s="17">
        <f t="shared" si="53"/>
        <v>3.8723984390394484E-2</v>
      </c>
    </row>
    <row r="194" spans="6:13" x14ac:dyDescent="0.2">
      <c r="F194">
        <v>800</v>
      </c>
      <c r="G194">
        <f t="shared" si="49"/>
        <v>0.8</v>
      </c>
      <c r="H194">
        <f t="shared" si="51"/>
        <v>527</v>
      </c>
      <c r="I194" s="17">
        <f t="shared" si="53"/>
        <v>2.9624988277000001E-2</v>
      </c>
      <c r="J194" s="17">
        <f t="shared" si="53"/>
        <v>3.1438113570499998E-2</v>
      </c>
      <c r="K194" s="17">
        <f t="shared" si="53"/>
        <v>5.1440518469000003E-2</v>
      </c>
      <c r="L194" s="17">
        <f t="shared" si="53"/>
        <v>6.2927011468499994E-2</v>
      </c>
      <c r="M194" s="17">
        <f t="shared" si="53"/>
        <v>3.8736498027499996E-2</v>
      </c>
    </row>
    <row r="195" spans="6:13" x14ac:dyDescent="0.2">
      <c r="F195">
        <v>801</v>
      </c>
      <c r="G195">
        <f t="shared" si="49"/>
        <v>0.80100000000000005</v>
      </c>
      <c r="H195">
        <f t="shared" si="51"/>
        <v>528</v>
      </c>
      <c r="I195" s="17">
        <f t="shared" si="53"/>
        <v>2.9627216430472055E-2</v>
      </c>
      <c r="J195" s="17">
        <f t="shared" si="53"/>
        <v>3.1444810556524871E-2</v>
      </c>
      <c r="K195" s="17">
        <f t="shared" si="53"/>
        <v>5.1457578275833429E-2</v>
      </c>
      <c r="L195" s="17">
        <f t="shared" si="53"/>
        <v>6.29760366816009E-2</v>
      </c>
      <c r="M195" s="17">
        <f t="shared" si="53"/>
        <v>3.8749014289182669E-2</v>
      </c>
    </row>
    <row r="196" spans="6:13" x14ac:dyDescent="0.2">
      <c r="F196">
        <v>802</v>
      </c>
      <c r="G196">
        <f t="shared" si="49"/>
        <v>0.80200000000000005</v>
      </c>
      <c r="H196">
        <f t="shared" si="51"/>
        <v>529</v>
      </c>
      <c r="I196" s="17">
        <f t="shared" si="53"/>
        <v>2.9629451812087641E-2</v>
      </c>
      <c r="J196" s="17">
        <f t="shared" si="53"/>
        <v>3.1451504618689709E-2</v>
      </c>
      <c r="K196" s="17">
        <f t="shared" si="53"/>
        <v>5.1474606908312862E-2</v>
      </c>
      <c r="L196" s="17">
        <f t="shared" si="53"/>
        <v>6.3025014918518946E-2</v>
      </c>
      <c r="M196" s="17">
        <f t="shared" si="53"/>
        <v>3.8761533154238276E-2</v>
      </c>
    </row>
    <row r="197" spans="6:13" x14ac:dyDescent="0.2">
      <c r="F197">
        <v>803</v>
      </c>
      <c r="G197">
        <f t="shared" si="49"/>
        <v>0.80300000000000005</v>
      </c>
      <c r="H197">
        <f t="shared" si="51"/>
        <v>530</v>
      </c>
      <c r="I197" s="17">
        <f t="shared" ref="I197:M206" si="54">(I$159+I$160*$G197+I$161*($G197^2)+I$162*($G197^3)+I$163/($G197^2))/1000</f>
        <v>2.9631694416714451E-2</v>
      </c>
      <c r="J197" s="17">
        <f t="shared" si="54"/>
        <v>3.145819572693058E-2</v>
      </c>
      <c r="K197" s="17">
        <f t="shared" si="54"/>
        <v>5.1491604424043082E-2</v>
      </c>
      <c r="L197" s="17">
        <f t="shared" si="54"/>
        <v>6.3073946165194308E-2</v>
      </c>
      <c r="M197" s="17">
        <f t="shared" si="54"/>
        <v>3.8774054601499977E-2</v>
      </c>
    </row>
    <row r="198" spans="6:13" x14ac:dyDescent="0.2">
      <c r="F198">
        <v>804</v>
      </c>
      <c r="G198">
        <f t="shared" si="49"/>
        <v>0.80400000000000005</v>
      </c>
      <c r="H198">
        <f t="shared" si="51"/>
        <v>531</v>
      </c>
      <c r="I198" s="17">
        <f t="shared" si="54"/>
        <v>2.9633944239148689E-2</v>
      </c>
      <c r="J198" s="17">
        <f t="shared" si="54"/>
        <v>3.1464883851421488E-2</v>
      </c>
      <c r="K198" s="17">
        <f t="shared" si="54"/>
        <v>5.1508570880567178E-2</v>
      </c>
      <c r="L198" s="17">
        <f t="shared" si="54"/>
        <v>6.3122830407873198E-2</v>
      </c>
      <c r="M198" s="17">
        <f t="shared" si="54"/>
        <v>3.8786578609837925E-2</v>
      </c>
    </row>
    <row r="199" spans="6:13" x14ac:dyDescent="0.2">
      <c r="F199">
        <v>805</v>
      </c>
      <c r="G199">
        <f t="shared" si="49"/>
        <v>0.80500000000000005</v>
      </c>
      <c r="H199">
        <f t="shared" si="51"/>
        <v>532</v>
      </c>
      <c r="I199" s="17">
        <f t="shared" si="54"/>
        <v>2.9636201274115561E-2</v>
      </c>
      <c r="J199" s="17">
        <f t="shared" si="54"/>
        <v>3.1471568962572596E-2</v>
      </c>
      <c r="K199" s="17">
        <f t="shared" si="54"/>
        <v>5.1525506335367156E-2</v>
      </c>
      <c r="L199" s="17">
        <f t="shared" si="54"/>
        <v>6.3171667633105527E-2</v>
      </c>
      <c r="M199" s="17">
        <f t="shared" si="54"/>
        <v>3.8799105158159063E-2</v>
      </c>
    </row>
    <row r="200" spans="6:13" x14ac:dyDescent="0.2">
      <c r="F200">
        <v>806</v>
      </c>
      <c r="G200">
        <f t="shared" si="49"/>
        <v>0.80600000000000005</v>
      </c>
      <c r="H200">
        <f t="shared" si="51"/>
        <v>533</v>
      </c>
      <c r="I200" s="17">
        <f t="shared" si="54"/>
        <v>2.9638465516269849E-2</v>
      </c>
      <c r="J200" s="17">
        <f t="shared" si="54"/>
        <v>3.1478251031028449E-2</v>
      </c>
      <c r="K200" s="17">
        <f t="shared" si="54"/>
        <v>5.1542410845864257E-2</v>
      </c>
      <c r="L200" s="17">
        <f t="shared" si="54"/>
        <v>6.322045782774266E-2</v>
      </c>
      <c r="M200" s="17">
        <f t="shared" si="54"/>
        <v>3.8811634225406816E-2</v>
      </c>
    </row>
    <row r="201" spans="6:13" x14ac:dyDescent="0.2">
      <c r="F201">
        <v>807</v>
      </c>
      <c r="G201">
        <f t="shared" si="49"/>
        <v>0.80700000000000005</v>
      </c>
      <c r="H201">
        <f t="shared" si="51"/>
        <v>534</v>
      </c>
      <c r="I201" s="17">
        <f t="shared" si="54"/>
        <v>2.9640736960196406E-2</v>
      </c>
      <c r="J201" s="17">
        <f t="shared" si="54"/>
        <v>3.1484930027666273E-2</v>
      </c>
      <c r="K201" s="17">
        <f t="shared" si="54"/>
        <v>5.1559284469419514E-2</v>
      </c>
      <c r="L201" s="17">
        <f t="shared" si="54"/>
        <v>6.3269200978935236E-2</v>
      </c>
      <c r="M201" s="17">
        <f t="shared" si="54"/>
        <v>3.882416579056084E-2</v>
      </c>
    </row>
    <row r="202" spans="6:13" x14ac:dyDescent="0.2">
      <c r="F202">
        <v>808</v>
      </c>
      <c r="G202">
        <f t="shared" si="49"/>
        <v>0.80800000000000005</v>
      </c>
      <c r="H202">
        <f t="shared" si="51"/>
        <v>535</v>
      </c>
      <c r="I202" s="17">
        <f t="shared" si="54"/>
        <v>2.9643015600410702E-2</v>
      </c>
      <c r="J202" s="17">
        <f t="shared" si="54"/>
        <v>3.1491605923594214E-2</v>
      </c>
      <c r="K202" s="17">
        <f t="shared" si="54"/>
        <v>5.1576127263334125E-2</v>
      </c>
      <c r="L202" s="17">
        <f t="shared" si="54"/>
        <v>6.3317897074130838E-2</v>
      </c>
      <c r="M202" s="17">
        <f t="shared" si="54"/>
        <v>3.8836699832636726E-2</v>
      </c>
    </row>
    <row r="203" spans="6:13" x14ac:dyDescent="0.2">
      <c r="F203">
        <v>809</v>
      </c>
      <c r="G203">
        <f t="shared" si="49"/>
        <v>0.80900000000000005</v>
      </c>
      <c r="H203">
        <f t="shared" si="51"/>
        <v>536</v>
      </c>
      <c r="I203" s="17">
        <f t="shared" si="54"/>
        <v>2.9645301431359298E-2</v>
      </c>
      <c r="J203" s="17">
        <f t="shared" si="54"/>
        <v>3.1498278690149629E-2</v>
      </c>
      <c r="K203" s="17">
        <f t="shared" si="54"/>
        <v>5.1592939284849933E-2</v>
      </c>
      <c r="L203" s="17">
        <f t="shared" si="54"/>
        <v>6.3366546101071911E-2</v>
      </c>
      <c r="M203" s="17">
        <f t="shared" si="54"/>
        <v>3.884923633068578E-2</v>
      </c>
    </row>
    <row r="204" spans="6:13" x14ac:dyDescent="0.2">
      <c r="F204">
        <v>810</v>
      </c>
      <c r="G204">
        <f t="shared" si="49"/>
        <v>0.81</v>
      </c>
      <c r="H204">
        <f t="shared" si="51"/>
        <v>537</v>
      </c>
      <c r="I204" s="17">
        <f t="shared" si="54"/>
        <v>2.9647594447420381E-2</v>
      </c>
      <c r="J204" s="17">
        <f t="shared" si="54"/>
        <v>3.1504948298897405E-2</v>
      </c>
      <c r="K204" s="17">
        <f t="shared" si="54"/>
        <v>5.1609720591149849E-2</v>
      </c>
      <c r="L204" s="17">
        <f t="shared" si="54"/>
        <v>6.3415148047793482E-2</v>
      </c>
      <c r="M204" s="17">
        <f t="shared" si="54"/>
        <v>3.8861775263794696E-2</v>
      </c>
    </row>
    <row r="205" spans="6:13" x14ac:dyDescent="0.2">
      <c r="F205">
        <v>811</v>
      </c>
      <c r="G205">
        <f t="shared" si="49"/>
        <v>0.81100000000000005</v>
      </c>
      <c r="H205">
        <f t="shared" si="51"/>
        <v>538</v>
      </c>
      <c r="I205" s="17">
        <f t="shared" si="54"/>
        <v>2.9649894642904285E-2</v>
      </c>
      <c r="J205" s="17">
        <f t="shared" si="54"/>
        <v>3.1511614721628264E-2</v>
      </c>
      <c r="K205" s="17">
        <f t="shared" si="54"/>
        <v>5.1626471239358339E-2</v>
      </c>
      <c r="L205" s="17">
        <f t="shared" si="54"/>
        <v>6.3463702902621072E-2</v>
      </c>
      <c r="M205" s="17">
        <f t="shared" si="54"/>
        <v>3.8874316611085355E-2</v>
      </c>
    </row>
    <row r="206" spans="6:13" x14ac:dyDescent="0.2">
      <c r="F206">
        <v>812</v>
      </c>
      <c r="G206">
        <f t="shared" si="49"/>
        <v>0.81200000000000006</v>
      </c>
      <c r="H206">
        <f t="shared" si="51"/>
        <v>539</v>
      </c>
      <c r="I206" s="17">
        <f t="shared" si="54"/>
        <v>2.9652202012053961E-2</v>
      </c>
      <c r="J206" s="17">
        <f t="shared" si="54"/>
        <v>3.1518277930357122E-2</v>
      </c>
      <c r="K206" s="17">
        <f t="shared" si="54"/>
        <v>5.164319128654174E-2</v>
      </c>
      <c r="L206" s="17">
        <f t="shared" si="54"/>
        <v>6.3512210654168524E-2</v>
      </c>
      <c r="M206" s="17">
        <f t="shared" si="54"/>
        <v>3.8886860351714507E-2</v>
      </c>
    </row>
    <row r="207" spans="6:13" x14ac:dyDescent="0.2">
      <c r="F207">
        <v>813</v>
      </c>
      <c r="G207">
        <f t="shared" si="49"/>
        <v>0.81299999999999994</v>
      </c>
      <c r="H207">
        <f t="shared" si="51"/>
        <v>540</v>
      </c>
      <c r="I207" s="17">
        <f t="shared" ref="I207:M216" si="55">(I$159+I$160*$G207+I$161*($G207^2)+I$162*($G207^3)+I$163/($G207^2))/1000</f>
        <v>2.9654516549045492E-2</v>
      </c>
      <c r="J207" s="17">
        <f t="shared" si="55"/>
        <v>3.1524937897321366E-2</v>
      </c>
      <c r="K207" s="17">
        <f t="shared" si="55"/>
        <v>5.1659880789708831E-2</v>
      </c>
      <c r="L207" s="17">
        <f t="shared" si="55"/>
        <v>6.3560671291335788E-2</v>
      </c>
      <c r="M207" s="17">
        <f t="shared" si="55"/>
        <v>3.8899406464873582E-2</v>
      </c>
    </row>
    <row r="208" spans="6:13" x14ac:dyDescent="0.2">
      <c r="F208">
        <v>814</v>
      </c>
      <c r="G208">
        <f t="shared" si="49"/>
        <v>0.81399999999999995</v>
      </c>
      <c r="H208">
        <f t="shared" si="51"/>
        <v>541</v>
      </c>
      <c r="I208" s="17">
        <f t="shared" si="55"/>
        <v>2.9656838247988579E-2</v>
      </c>
      <c r="J208" s="17">
        <f t="shared" si="55"/>
        <v>3.1531594594979326E-2</v>
      </c>
      <c r="K208" s="17">
        <f t="shared" si="55"/>
        <v>5.1676539805811127E-2</v>
      </c>
      <c r="L208" s="17">
        <f t="shared" si="55"/>
        <v>6.3609084803307001E-2</v>
      </c>
      <c r="M208" s="17">
        <f t="shared" si="55"/>
        <v>3.891195492978837E-2</v>
      </c>
    </row>
    <row r="209" spans="6:13" x14ac:dyDescent="0.2">
      <c r="F209">
        <v>815</v>
      </c>
      <c r="G209">
        <f t="shared" si="49"/>
        <v>0.81499999999999995</v>
      </c>
      <c r="H209">
        <f t="shared" si="51"/>
        <v>542</v>
      </c>
      <c r="I209" s="17">
        <f t="shared" si="55"/>
        <v>2.9659167102927021E-2</v>
      </c>
      <c r="J209" s="17">
        <f t="shared" si="55"/>
        <v>3.153824799600851E-2</v>
      </c>
      <c r="K209" s="17">
        <f t="shared" si="55"/>
        <v>5.1693168391743399E-2</v>
      </c>
      <c r="L209" s="17">
        <f t="shared" si="55"/>
        <v>6.3657451179548255E-2</v>
      </c>
      <c r="M209" s="17">
        <f t="shared" si="55"/>
        <v>3.892450572571881E-2</v>
      </c>
    </row>
    <row r="210" spans="6:13" x14ac:dyDescent="0.2">
      <c r="F210">
        <v>816</v>
      </c>
      <c r="G210">
        <f t="shared" si="49"/>
        <v>0.81599999999999995</v>
      </c>
      <c r="H210">
        <f t="shared" si="51"/>
        <v>543</v>
      </c>
      <c r="I210" s="17">
        <f t="shared" si="55"/>
        <v>2.9661503107839222E-2</v>
      </c>
      <c r="J210" s="17">
        <f t="shared" si="55"/>
        <v>3.1544898073304149E-2</v>
      </c>
      <c r="K210" s="17">
        <f t="shared" si="55"/>
        <v>5.1709766604344072E-2</v>
      </c>
      <c r="L210" s="17">
        <f t="shared" si="55"/>
        <v>6.3705770409805532E-2</v>
      </c>
      <c r="M210" s="17">
        <f t="shared" si="55"/>
        <v>3.8937058831958707E-2</v>
      </c>
    </row>
    <row r="211" spans="6:13" x14ac:dyDescent="0.2">
      <c r="F211">
        <v>817</v>
      </c>
      <c r="G211">
        <f t="shared" si="49"/>
        <v>0.81699999999999995</v>
      </c>
      <c r="H211">
        <f t="shared" si="51"/>
        <v>544</v>
      </c>
      <c r="I211" s="17">
        <f t="shared" si="55"/>
        <v>2.9663846256638669E-2</v>
      </c>
      <c r="J211" s="17">
        <f t="shared" si="55"/>
        <v>3.155154479997746E-2</v>
      </c>
      <c r="K211" s="17">
        <f t="shared" si="55"/>
        <v>5.1726334500395578E-2</v>
      </c>
      <c r="L211" s="17">
        <f t="shared" si="55"/>
        <v>6.3754042484102658E-2</v>
      </c>
      <c r="M211" s="17">
        <f t="shared" si="55"/>
        <v>3.8949614227835536E-2</v>
      </c>
    </row>
    <row r="212" spans="6:13" x14ac:dyDescent="0.2">
      <c r="F212">
        <v>818</v>
      </c>
      <c r="G212">
        <f t="shared" si="49"/>
        <v>0.81799999999999995</v>
      </c>
      <c r="H212">
        <f t="shared" si="51"/>
        <v>545</v>
      </c>
      <c r="I212" s="17">
        <f t="shared" si="55"/>
        <v>2.9666196543174383E-2</v>
      </c>
      <c r="J212" s="17">
        <f t="shared" si="55"/>
        <v>3.1558188149354148E-2</v>
      </c>
      <c r="K212" s="17">
        <f t="shared" si="55"/>
        <v>5.1742872136624804E-2</v>
      </c>
      <c r="L212" s="17">
        <f t="shared" si="55"/>
        <v>6.3802267392739392E-2</v>
      </c>
      <c r="M212" s="17">
        <f t="shared" si="55"/>
        <v>3.8962171892710104E-2</v>
      </c>
    </row>
    <row r="213" spans="6:13" x14ac:dyDescent="0.2">
      <c r="F213">
        <v>819</v>
      </c>
      <c r="G213">
        <f t="shared" si="49"/>
        <v>0.81899999999999995</v>
      </c>
      <c r="H213">
        <f t="shared" si="51"/>
        <v>546</v>
      </c>
      <c r="I213" s="17">
        <f t="shared" si="55"/>
        <v>2.9668553961231393E-2</v>
      </c>
      <c r="J213" s="17">
        <f t="shared" si="55"/>
        <v>3.1564828094972824E-2</v>
      </c>
      <c r="K213" s="17">
        <f t="shared" si="55"/>
        <v>5.1759379569703556E-2</v>
      </c>
      <c r="L213" s="17">
        <f t="shared" si="55"/>
        <v>6.3850445126289179E-2</v>
      </c>
      <c r="M213" s="17">
        <f t="shared" si="55"/>
        <v>3.8974731805976416E-2</v>
      </c>
    </row>
    <row r="214" spans="6:13" x14ac:dyDescent="0.2">
      <c r="F214">
        <v>820</v>
      </c>
      <c r="G214">
        <f t="shared" si="49"/>
        <v>0.82</v>
      </c>
      <c r="H214">
        <f t="shared" si="51"/>
        <v>547</v>
      </c>
      <c r="I214" s="17">
        <f t="shared" si="55"/>
        <v>2.9670918504531234E-2</v>
      </c>
      <c r="J214" s="17">
        <f t="shared" si="55"/>
        <v>3.1571464610583383E-2</v>
      </c>
      <c r="K214" s="17">
        <f t="shared" si="55"/>
        <v>5.1775856856248831E-2</v>
      </c>
      <c r="L214" s="17">
        <f t="shared" si="55"/>
        <v>6.3898575675597327E-2</v>
      </c>
      <c r="M214" s="17">
        <f t="shared" si="55"/>
        <v>3.8987293947061366E-2</v>
      </c>
    </row>
    <row r="215" spans="6:13" x14ac:dyDescent="0.2">
      <c r="F215">
        <v>821</v>
      </c>
      <c r="G215">
        <f t="shared" si="49"/>
        <v>0.82099999999999995</v>
      </c>
      <c r="H215">
        <f t="shared" si="51"/>
        <v>548</v>
      </c>
      <c r="I215" s="17">
        <f t="shared" si="55"/>
        <v>2.96732901667324E-2</v>
      </c>
      <c r="J215" s="17">
        <f t="shared" si="55"/>
        <v>3.157809767014557E-2</v>
      </c>
      <c r="K215" s="17">
        <f t="shared" si="55"/>
        <v>5.1792304052823368E-2</v>
      </c>
      <c r="L215" s="17">
        <f t="shared" si="55"/>
        <v>6.3946659031778957E-2</v>
      </c>
      <c r="M215" s="17">
        <f t="shared" si="55"/>
        <v>3.8999858295424482E-2</v>
      </c>
    </row>
    <row r="216" spans="6:13" x14ac:dyDescent="0.2">
      <c r="F216">
        <v>822</v>
      </c>
      <c r="G216">
        <f t="shared" si="49"/>
        <v>0.82199999999999995</v>
      </c>
      <c r="H216">
        <f t="shared" si="51"/>
        <v>549</v>
      </c>
      <c r="I216" s="17">
        <f t="shared" si="55"/>
        <v>2.9675668941430783E-2</v>
      </c>
      <c r="J216" s="17">
        <f t="shared" si="55"/>
        <v>3.1584727247827356E-2</v>
      </c>
      <c r="K216" s="17">
        <f t="shared" si="55"/>
        <v>5.180872121593591E-2</v>
      </c>
      <c r="L216" s="17">
        <f t="shared" si="55"/>
        <v>6.399469518621706E-2</v>
      </c>
      <c r="M216" s="17">
        <f t="shared" si="55"/>
        <v>3.9012424830557731E-2</v>
      </c>
    </row>
    <row r="217" spans="6:13" x14ac:dyDescent="0.2">
      <c r="F217">
        <v>823</v>
      </c>
      <c r="G217">
        <f t="shared" si="49"/>
        <v>0.82299999999999995</v>
      </c>
      <c r="H217">
        <f t="shared" si="51"/>
        <v>550</v>
      </c>
      <c r="I217" s="17">
        <f t="shared" ref="I217:M226" si="56">(I$159+I$160*$G217+I$161*($G217^2)+I$162*($G217^3)+I$163/($G217^2))/1000</f>
        <v>2.9678054822160141E-2</v>
      </c>
      <c r="J217" s="17">
        <f t="shared" si="56"/>
        <v>3.1591353318003466E-2</v>
      </c>
      <c r="K217" s="17">
        <f t="shared" si="56"/>
        <v>5.1825108402041714E-2</v>
      </c>
      <c r="L217" s="17">
        <f t="shared" si="56"/>
        <v>6.4042684130560495E-2</v>
      </c>
      <c r="M217" s="17">
        <f t="shared" si="56"/>
        <v>3.902499353198529E-2</v>
      </c>
    </row>
    <row r="218" spans="6:13" x14ac:dyDescent="0.2">
      <c r="F218">
        <v>824</v>
      </c>
      <c r="G218">
        <f t="shared" si="49"/>
        <v>0.82399999999999995</v>
      </c>
      <c r="H218">
        <f t="shared" si="51"/>
        <v>551</v>
      </c>
      <c r="I218" s="17">
        <f t="shared" si="56"/>
        <v>2.9680447802392554E-2</v>
      </c>
      <c r="J218" s="17">
        <f t="shared" si="56"/>
        <v>3.1597975855253861E-2</v>
      </c>
      <c r="K218" s="17">
        <f t="shared" si="56"/>
        <v>5.1841465667542851E-2</v>
      </c>
      <c r="L218" s="17">
        <f t="shared" si="56"/>
        <v>6.4090625856722122E-2</v>
      </c>
      <c r="M218" s="17">
        <f t="shared" si="56"/>
        <v>3.903756437926325E-2</v>
      </c>
    </row>
    <row r="219" spans="6:13" x14ac:dyDescent="0.2">
      <c r="F219">
        <v>825</v>
      </c>
      <c r="G219">
        <f t="shared" si="49"/>
        <v>0.82499999999999996</v>
      </c>
      <c r="H219">
        <f t="shared" si="51"/>
        <v>552</v>
      </c>
      <c r="I219" s="17">
        <f t="shared" si="56"/>
        <v>2.9682847875538879E-2</v>
      </c>
      <c r="J219" s="17">
        <f t="shared" si="56"/>
        <v>3.1604594834362253E-2</v>
      </c>
      <c r="K219" s="17">
        <f t="shared" si="56"/>
        <v>5.1857793068788613E-2</v>
      </c>
      <c r="L219" s="17">
        <f t="shared" si="56"/>
        <v>6.4138520356876783E-2</v>
      </c>
      <c r="M219" s="17">
        <f t="shared" si="56"/>
        <v>3.9050137351979458E-2</v>
      </c>
    </row>
    <row r="220" spans="6:13" x14ac:dyDescent="0.2">
      <c r="F220">
        <v>826</v>
      </c>
      <c r="G220">
        <f t="shared" si="49"/>
        <v>0.82599999999999996</v>
      </c>
      <c r="H220">
        <f t="shared" si="51"/>
        <v>553</v>
      </c>
      <c r="I220" s="17">
        <f t="shared" si="56"/>
        <v>2.9685255034949194E-2</v>
      </c>
      <c r="J220" s="17">
        <f t="shared" si="56"/>
        <v>3.1611210230314629E-2</v>
      </c>
      <c r="K220" s="17">
        <f t="shared" si="56"/>
        <v>5.1874090662075927E-2</v>
      </c>
      <c r="L220" s="17">
        <f t="shared" si="56"/>
        <v>6.4186367623459514E-2</v>
      </c>
      <c r="M220" s="17">
        <f t="shared" si="56"/>
        <v>3.9062712429753205E-2</v>
      </c>
    </row>
    <row r="221" spans="6:13" x14ac:dyDescent="0.2">
      <c r="F221">
        <v>827</v>
      </c>
      <c r="G221">
        <f t="shared" si="49"/>
        <v>0.82699999999999996</v>
      </c>
      <c r="H221">
        <f t="shared" si="51"/>
        <v>554</v>
      </c>
      <c r="I221" s="17">
        <f t="shared" si="56"/>
        <v>2.9687669273913201E-2</v>
      </c>
      <c r="J221" s="17">
        <f t="shared" si="56"/>
        <v>3.1617822018297763E-2</v>
      </c>
      <c r="K221" s="17">
        <f t="shared" si="56"/>
        <v>5.1890358503649744E-2</v>
      </c>
      <c r="L221" s="17">
        <f t="shared" si="56"/>
        <v>6.4234167649163648E-2</v>
      </c>
      <c r="M221" s="17">
        <f t="shared" si="56"/>
        <v>3.9075289592235087E-2</v>
      </c>
    </row>
    <row r="222" spans="6:13" x14ac:dyDescent="0.2">
      <c r="F222">
        <v>828</v>
      </c>
      <c r="G222">
        <f t="shared" si="49"/>
        <v>0.82799999999999996</v>
      </c>
      <c r="H222">
        <f t="shared" si="51"/>
        <v>555</v>
      </c>
      <c r="I222" s="17">
        <f t="shared" si="56"/>
        <v>2.9690090585660713E-2</v>
      </c>
      <c r="J222" s="17">
        <f t="shared" si="56"/>
        <v>3.1624430173697787E-2</v>
      </c>
      <c r="K222" s="17">
        <f t="shared" si="56"/>
        <v>5.1906596649703325E-2</v>
      </c>
      <c r="L222" s="17">
        <f t="shared" si="56"/>
        <v>6.4281920426938796E-2</v>
      </c>
      <c r="M222" s="17">
        <f t="shared" si="56"/>
        <v>3.9087868819106718E-2</v>
      </c>
    </row>
    <row r="223" spans="6:13" x14ac:dyDescent="0.2">
      <c r="F223">
        <v>829</v>
      </c>
      <c r="G223">
        <f t="shared" si="49"/>
        <v>0.82899999999999996</v>
      </c>
      <c r="H223">
        <f t="shared" si="51"/>
        <v>556</v>
      </c>
      <c r="I223" s="17">
        <f t="shared" si="56"/>
        <v>2.9692518963362068E-2</v>
      </c>
      <c r="J223" s="17">
        <f t="shared" si="56"/>
        <v>3.1631034672098733E-2</v>
      </c>
      <c r="K223" s="17">
        <f t="shared" si="56"/>
        <v>5.1922805156378746E-2</v>
      </c>
      <c r="L223" s="17">
        <f t="shared" si="56"/>
        <v>6.4329625949989214E-2</v>
      </c>
      <c r="M223" s="17">
        <f t="shared" si="56"/>
        <v>3.9100450090080521E-2</v>
      </c>
    </row>
    <row r="224" spans="6:13" x14ac:dyDescent="0.2">
      <c r="F224">
        <v>830</v>
      </c>
      <c r="G224">
        <f t="shared" si="49"/>
        <v>0.83</v>
      </c>
      <c r="H224">
        <f t="shared" si="51"/>
        <v>557</v>
      </c>
      <c r="I224" s="17">
        <f t="shared" si="56"/>
        <v>2.9694954400128558E-2</v>
      </c>
      <c r="J224" s="17">
        <f t="shared" si="56"/>
        <v>3.1637635489281106E-2</v>
      </c>
      <c r="K224" s="17">
        <f t="shared" si="56"/>
        <v>5.1938984079767138E-2</v>
      </c>
      <c r="L224" s="17">
        <f t="shared" si="56"/>
        <v>6.437728421177176E-2</v>
      </c>
      <c r="M224" s="17">
        <f t="shared" si="56"/>
        <v>3.9113033384899527E-2</v>
      </c>
    </row>
    <row r="225" spans="6:13" x14ac:dyDescent="0.2">
      <c r="F225">
        <v>831</v>
      </c>
      <c r="G225">
        <f t="shared" si="49"/>
        <v>0.83099999999999996</v>
      </c>
      <c r="H225">
        <f t="shared" si="51"/>
        <v>558</v>
      </c>
      <c r="I225" s="17">
        <f t="shared" si="56"/>
        <v>2.969739688901284E-2</v>
      </c>
      <c r="J225" s="17">
        <f t="shared" si="56"/>
        <v>3.1644232601220498E-2</v>
      </c>
      <c r="K225" s="17">
        <f t="shared" si="56"/>
        <v>5.195513347590916E-2</v>
      </c>
      <c r="L225" s="17">
        <f t="shared" si="56"/>
        <v>6.4424895205994245E-2</v>
      </c>
      <c r="M225" s="17">
        <f t="shared" si="56"/>
        <v>3.9125618683337103E-2</v>
      </c>
    </row>
    <row r="226" spans="6:13" x14ac:dyDescent="0.2">
      <c r="F226">
        <v>832</v>
      </c>
      <c r="G226">
        <f t="shared" si="49"/>
        <v>0.83199999999999996</v>
      </c>
      <c r="H226">
        <f t="shared" si="51"/>
        <v>559</v>
      </c>
      <c r="I226" s="17">
        <f t="shared" si="56"/>
        <v>2.969984642300939E-2</v>
      </c>
      <c r="J226" s="17">
        <f t="shared" si="56"/>
        <v>3.1650825984086098E-2</v>
      </c>
      <c r="K226" s="17">
        <f t="shared" si="56"/>
        <v>5.1971253400795281E-2</v>
      </c>
      <c r="L226" s="17">
        <f t="shared" si="56"/>
        <v>6.4472458926613477E-2</v>
      </c>
      <c r="M226" s="17">
        <f t="shared" si="56"/>
        <v>3.9138205965196772E-2</v>
      </c>
    </row>
    <row r="227" spans="6:13" x14ac:dyDescent="0.2">
      <c r="F227">
        <v>833</v>
      </c>
      <c r="G227">
        <f t="shared" si="49"/>
        <v>0.83299999999999996</v>
      </c>
      <c r="H227">
        <f t="shared" si="51"/>
        <v>560</v>
      </c>
      <c r="I227" s="17">
        <f t="shared" ref="I227:M236" si="57">(I$159+I$160*$G227+I$161*($G227^2)+I$162*($G227^3)+I$163/($G227^2))/1000</f>
        <v>2.9702302995054889E-2</v>
      </c>
      <c r="J227" s="17">
        <f t="shared" si="57"/>
        <v>3.1657415614239411E-2</v>
      </c>
      <c r="K227" s="17">
        <f t="shared" si="57"/>
        <v>5.1987343910366232E-2</v>
      </c>
      <c r="L227" s="17">
        <f t="shared" si="57"/>
        <v>6.4519975367833549E-2</v>
      </c>
      <c r="M227" s="17">
        <f t="shared" si="57"/>
        <v>3.9150795210312013E-2</v>
      </c>
    </row>
    <row r="228" spans="6:13" x14ac:dyDescent="0.2">
      <c r="F228">
        <v>834</v>
      </c>
      <c r="G228">
        <f t="shared" si="49"/>
        <v>0.83399999999999996</v>
      </c>
      <c r="H228">
        <f t="shared" si="51"/>
        <v>561</v>
      </c>
      <c r="I228" s="17">
        <f t="shared" si="57"/>
        <v>2.9704766598028686E-2</v>
      </c>
      <c r="J228" s="17">
        <f t="shared" si="57"/>
        <v>3.1664001468232776E-2</v>
      </c>
      <c r="K228" s="17">
        <f t="shared" si="57"/>
        <v>5.2003405060513264E-2</v>
      </c>
      <c r="L228" s="17">
        <f t="shared" si="57"/>
        <v>6.4567444524104095E-2</v>
      </c>
      <c r="M228" s="17">
        <f t="shared" si="57"/>
        <v>3.9163386398545989E-2</v>
      </c>
    </row>
    <row r="229" spans="6:13" x14ac:dyDescent="0.2">
      <c r="F229">
        <v>835</v>
      </c>
      <c r="G229">
        <f t="shared" si="49"/>
        <v>0.83499999999999996</v>
      </c>
      <c r="H229">
        <f t="shared" si="51"/>
        <v>562</v>
      </c>
      <c r="I229" s="17">
        <f t="shared" si="57"/>
        <v>2.9707237224753144E-2</v>
      </c>
      <c r="J229" s="17">
        <f t="shared" si="57"/>
        <v>3.1670583522808049E-2</v>
      </c>
      <c r="K229" s="17">
        <f t="shared" si="57"/>
        <v>5.2019436907078567E-2</v>
      </c>
      <c r="L229" s="17">
        <f t="shared" si="57"/>
        <v>6.4614866390118389E-2</v>
      </c>
      <c r="M229" s="17">
        <f t="shared" si="57"/>
        <v>3.9175979509791389E-2</v>
      </c>
    </row>
    <row r="230" spans="6:13" x14ac:dyDescent="0.2">
      <c r="F230">
        <v>836</v>
      </c>
      <c r="G230">
        <f t="shared" si="49"/>
        <v>0.83599999999999997</v>
      </c>
      <c r="H230">
        <f t="shared" si="51"/>
        <v>563</v>
      </c>
      <c r="I230" s="17">
        <f t="shared" si="57"/>
        <v>2.9709714867994098E-2</v>
      </c>
      <c r="J230" s="17">
        <f t="shared" si="57"/>
        <v>3.1677161754895267E-2</v>
      </c>
      <c r="K230" s="17">
        <f t="shared" si="57"/>
        <v>5.2035439505855575E-2</v>
      </c>
      <c r="L230" s="17">
        <f t="shared" si="57"/>
        <v>6.4662240960811801E-2</v>
      </c>
      <c r="M230" s="17">
        <f t="shared" si="57"/>
        <v>3.918857452397019E-2</v>
      </c>
    </row>
    <row r="231" spans="6:13" x14ac:dyDescent="0.2">
      <c r="F231">
        <v>837</v>
      </c>
      <c r="G231">
        <f t="shared" ref="G231:G294" si="58">F231/1000</f>
        <v>0.83699999999999997</v>
      </c>
      <c r="H231">
        <f t="shared" si="51"/>
        <v>564</v>
      </c>
      <c r="I231" s="17">
        <f t="shared" si="57"/>
        <v>2.9712199520461238E-2</v>
      </c>
      <c r="J231" s="17">
        <f t="shared" si="57"/>
        <v>3.1683736141611199E-2</v>
      </c>
      <c r="K231" s="17">
        <f t="shared" si="57"/>
        <v>5.2051412912589433E-2</v>
      </c>
      <c r="L231" s="17">
        <f t="shared" si="57"/>
        <v>6.4709568231359829E-2</v>
      </c>
      <c r="M231" s="17">
        <f t="shared" si="57"/>
        <v>3.9201171421033444E-2</v>
      </c>
    </row>
    <row r="232" spans="6:13" x14ac:dyDescent="0.2">
      <c r="F232">
        <v>838</v>
      </c>
      <c r="G232">
        <f t="shared" si="58"/>
        <v>0.83799999999999997</v>
      </c>
      <c r="H232">
        <f t="shared" si="51"/>
        <v>565</v>
      </c>
      <c r="I232" s="17">
        <f t="shared" si="57"/>
        <v>2.9714691174808537E-2</v>
      </c>
      <c r="J232" s="17">
        <f t="shared" si="57"/>
        <v>3.1690306660258134E-2</v>
      </c>
      <c r="K232" s="17">
        <f t="shared" si="57"/>
        <v>5.2067357182977149E-2</v>
      </c>
      <c r="L232" s="17">
        <f t="shared" si="57"/>
        <v>6.4756848197176586E-2</v>
      </c>
      <c r="M232" s="17">
        <f t="shared" si="57"/>
        <v>3.9213770180961068E-2</v>
      </c>
    </row>
    <row r="233" spans="6:13" x14ac:dyDescent="0.2">
      <c r="F233">
        <v>839</v>
      </c>
      <c r="G233">
        <f t="shared" si="58"/>
        <v>0.83899999999999997</v>
      </c>
      <c r="H233">
        <f t="shared" ref="H233:H296" si="59">F233-273</f>
        <v>566</v>
      </c>
      <c r="I233" s="17">
        <f t="shared" si="57"/>
        <v>2.9717189823634613E-2</v>
      </c>
      <c r="J233" s="17">
        <f t="shared" si="57"/>
        <v>3.1696873288322464E-2</v>
      </c>
      <c r="K233" s="17">
        <f t="shared" si="57"/>
        <v>5.2083272372668112E-2</v>
      </c>
      <c r="L233" s="17">
        <f t="shared" si="57"/>
        <v>6.480408085391294E-2</v>
      </c>
      <c r="M233" s="17">
        <f t="shared" si="57"/>
        <v>3.9226370783761656E-2</v>
      </c>
    </row>
    <row r="234" spans="6:13" x14ac:dyDescent="0.2">
      <c r="F234">
        <v>840</v>
      </c>
      <c r="G234">
        <f t="shared" si="58"/>
        <v>0.84</v>
      </c>
      <c r="H234">
        <f t="shared" si="59"/>
        <v>567</v>
      </c>
      <c r="I234" s="17">
        <f t="shared" si="57"/>
        <v>2.9719695459483136E-2</v>
      </c>
      <c r="J234" s="17">
        <f t="shared" si="57"/>
        <v>3.1703436003473411E-2</v>
      </c>
      <c r="K234" s="17">
        <f t="shared" si="57"/>
        <v>5.2099158537264337E-2</v>
      </c>
      <c r="L234" s="17">
        <f t="shared" si="57"/>
        <v>6.4851266197454946E-2</v>
      </c>
      <c r="M234" s="17">
        <f t="shared" si="57"/>
        <v>3.9238973209472283E-2</v>
      </c>
    </row>
    <row r="235" spans="6:13" x14ac:dyDescent="0.2">
      <c r="F235">
        <v>841</v>
      </c>
      <c r="G235">
        <f t="shared" si="58"/>
        <v>0.84099999999999997</v>
      </c>
      <c r="H235">
        <f t="shared" si="59"/>
        <v>568</v>
      </c>
      <c r="I235" s="17">
        <f t="shared" si="57"/>
        <v>2.972220807484325E-2</v>
      </c>
      <c r="J235" s="17">
        <f t="shared" si="57"/>
        <v>3.1709994783561728E-2</v>
      </c>
      <c r="K235" s="17">
        <f t="shared" si="57"/>
        <v>5.2115015732320816E-2</v>
      </c>
      <c r="L235" s="17">
        <f t="shared" si="57"/>
        <v>6.489840422392211E-2</v>
      </c>
      <c r="M235" s="17">
        <f t="shared" si="57"/>
        <v>3.9251577438158256E-2</v>
      </c>
    </row>
    <row r="236" spans="6:13" x14ac:dyDescent="0.2">
      <c r="F236">
        <v>842</v>
      </c>
      <c r="G236">
        <f t="shared" si="58"/>
        <v>0.84199999999999997</v>
      </c>
      <c r="H236">
        <f t="shared" si="59"/>
        <v>569</v>
      </c>
      <c r="I236" s="17">
        <f t="shared" si="57"/>
        <v>2.9724727662149921E-2</v>
      </c>
      <c r="J236" s="17">
        <f t="shared" si="57"/>
        <v>3.1716549606618356E-2</v>
      </c>
      <c r="K236" s="17">
        <f t="shared" si="57"/>
        <v>5.2130844013345917E-2</v>
      </c>
      <c r="L236" s="17">
        <f t="shared" si="57"/>
        <v>6.4945494929665684E-2</v>
      </c>
      <c r="M236" s="17">
        <f t="shared" si="57"/>
        <v>3.9264183449912948E-2</v>
      </c>
    </row>
    <row r="237" spans="6:13" x14ac:dyDescent="0.2">
      <c r="F237">
        <v>843</v>
      </c>
      <c r="G237">
        <f t="shared" si="58"/>
        <v>0.84299999999999997</v>
      </c>
      <c r="H237">
        <f t="shared" si="59"/>
        <v>570</v>
      </c>
      <c r="I237" s="17">
        <f t="shared" ref="I237:M246" si="60">(I$159+I$160*$G237+I$161*($G237^2)+I$162*($G237^3)+I$163/($G237^2))/1000</f>
        <v>2.9727254213784325E-2</v>
      </c>
      <c r="J237" s="17">
        <f t="shared" si="60"/>
        <v>3.1723100450853241E-2</v>
      </c>
      <c r="K237" s="17">
        <f t="shared" si="60"/>
        <v>5.214664343580161E-2</v>
      </c>
      <c r="L237" s="17">
        <f t="shared" si="60"/>
        <v>6.499253831126714E-2</v>
      </c>
      <c r="M237" s="17">
        <f t="shared" si="60"/>
        <v>3.9276791224857582E-2</v>
      </c>
    </row>
    <row r="238" spans="6:13" x14ac:dyDescent="0.2">
      <c r="F238">
        <v>844</v>
      </c>
      <c r="G238">
        <f t="shared" si="58"/>
        <v>0.84399999999999997</v>
      </c>
      <c r="H238">
        <f t="shared" si="59"/>
        <v>571</v>
      </c>
      <c r="I238" s="17">
        <f t="shared" si="60"/>
        <v>2.9729787722074255E-2</v>
      </c>
      <c r="J238" s="17">
        <f t="shared" si="60"/>
        <v>3.1729647294653926E-2</v>
      </c>
      <c r="K238" s="17">
        <f t="shared" si="60"/>
        <v>5.2162414055103884E-2</v>
      </c>
      <c r="L238" s="17">
        <f t="shared" si="60"/>
        <v>6.5039534365536389E-2</v>
      </c>
      <c r="M238" s="17">
        <f t="shared" si="60"/>
        <v>3.9289400743141065E-2</v>
      </c>
    </row>
    <row r="239" spans="6:13" x14ac:dyDescent="0.2">
      <c r="F239">
        <v>845</v>
      </c>
      <c r="G239">
        <f t="shared" si="58"/>
        <v>0.84499999999999997</v>
      </c>
      <c r="H239">
        <f t="shared" si="59"/>
        <v>572</v>
      </c>
      <c r="I239" s="17">
        <f t="shared" si="60"/>
        <v>2.9732328179294509E-2</v>
      </c>
      <c r="J239" s="17">
        <f t="shared" si="60"/>
        <v>3.1736190116584434E-2</v>
      </c>
      <c r="K239" s="17">
        <f t="shared" si="60"/>
        <v>5.2178155926623032E-2</v>
      </c>
      <c r="L239" s="17">
        <f t="shared" si="60"/>
        <v>6.5086483089510261E-2</v>
      </c>
      <c r="M239" s="17">
        <f t="shared" si="60"/>
        <v>3.9302011984939746E-2</v>
      </c>
    </row>
    <row r="240" spans="6:13" x14ac:dyDescent="0.2">
      <c r="F240">
        <v>846</v>
      </c>
      <c r="G240">
        <f t="shared" si="58"/>
        <v>0.84599999999999997</v>
      </c>
      <c r="H240">
        <f t="shared" si="59"/>
        <v>573</v>
      </c>
      <c r="I240" s="17">
        <f t="shared" si="60"/>
        <v>2.9734875577667207E-2</v>
      </c>
      <c r="J240" s="17">
        <f t="shared" si="60"/>
        <v>3.1742728895383897E-2</v>
      </c>
      <c r="K240" s="17">
        <f t="shared" si="60"/>
        <v>5.2193869105683986E-2</v>
      </c>
      <c r="L240" s="17">
        <f t="shared" si="60"/>
        <v>6.5133384480450876E-2</v>
      </c>
      <c r="M240" s="17">
        <f t="shared" si="60"/>
        <v>3.9314624930457266E-2</v>
      </c>
    </row>
    <row r="241" spans="6:13" x14ac:dyDescent="0.2">
      <c r="F241">
        <v>847</v>
      </c>
      <c r="G241">
        <f t="shared" si="58"/>
        <v>0.84699999999999998</v>
      </c>
      <c r="H241">
        <f t="shared" si="59"/>
        <v>574</v>
      </c>
      <c r="I241" s="17">
        <f t="shared" si="60"/>
        <v>2.9737429909362231E-2</v>
      </c>
      <c r="J241" s="17">
        <f t="shared" si="60"/>
        <v>3.174926360996539E-2</v>
      </c>
      <c r="K241" s="17">
        <f t="shared" si="60"/>
        <v>5.2209553647566638E-2</v>
      </c>
      <c r="L241" s="17">
        <f t="shared" si="60"/>
        <v>6.5180238535844023E-2</v>
      </c>
      <c r="M241" s="17">
        <f t="shared" si="60"/>
        <v>3.9327239559924301E-2</v>
      </c>
    </row>
    <row r="242" spans="6:13" x14ac:dyDescent="0.2">
      <c r="F242">
        <v>848</v>
      </c>
      <c r="G242">
        <f t="shared" si="58"/>
        <v>0.84799999999999998</v>
      </c>
      <c r="H242">
        <f t="shared" si="59"/>
        <v>575</v>
      </c>
      <c r="I242" s="17">
        <f t="shared" si="60"/>
        <v>2.9739991166497542E-2</v>
      </c>
      <c r="J242" s="17">
        <f t="shared" si="60"/>
        <v>3.1755794239414707E-2</v>
      </c>
      <c r="K242" s="17">
        <f t="shared" si="60"/>
        <v>5.2225209607506144E-2</v>
      </c>
      <c r="L242" s="17">
        <f t="shared" si="60"/>
        <v>6.5227045253397578E-2</v>
      </c>
      <c r="M242" s="17">
        <f t="shared" si="60"/>
        <v>3.9339855853598477E-2</v>
      </c>
    </row>
    <row r="243" spans="6:13" x14ac:dyDescent="0.2">
      <c r="F243">
        <v>849</v>
      </c>
      <c r="G243">
        <f t="shared" si="58"/>
        <v>0.84899999999999998</v>
      </c>
      <c r="H243">
        <f t="shared" si="59"/>
        <v>576</v>
      </c>
      <c r="I243" s="17">
        <f t="shared" si="60"/>
        <v>2.9742559341139584E-2</v>
      </c>
      <c r="J243" s="17">
        <f t="shared" si="60"/>
        <v>3.1762320762989044E-2</v>
      </c>
      <c r="K243" s="17">
        <f t="shared" si="60"/>
        <v>5.2240837040693267E-2</v>
      </c>
      <c r="L243" s="17">
        <f t="shared" si="60"/>
        <v>6.5273804631039989E-2</v>
      </c>
      <c r="M243" s="17">
        <f t="shared" si="60"/>
        <v>3.9352473791764056E-2</v>
      </c>
    </row>
    <row r="244" spans="6:13" x14ac:dyDescent="0.2">
      <c r="F244">
        <v>850</v>
      </c>
      <c r="G244">
        <f t="shared" si="58"/>
        <v>0.85</v>
      </c>
      <c r="H244">
        <f t="shared" si="59"/>
        <v>577</v>
      </c>
      <c r="I244" s="17">
        <f t="shared" si="60"/>
        <v>2.9745134425303632E-2</v>
      </c>
      <c r="J244" s="17">
        <f t="shared" si="60"/>
        <v>3.1768843160115919E-2</v>
      </c>
      <c r="K244" s="17">
        <f t="shared" si="60"/>
        <v>5.2256436002274663E-2</v>
      </c>
      <c r="L244" s="17">
        <f t="shared" si="60"/>
        <v>6.5320516666918682E-2</v>
      </c>
      <c r="M244" s="17">
        <f t="shared" si="60"/>
        <v>3.9365093354731831E-2</v>
      </c>
    </row>
    <row r="245" spans="6:13" x14ac:dyDescent="0.2">
      <c r="F245">
        <v>851</v>
      </c>
      <c r="G245">
        <f t="shared" si="58"/>
        <v>0.85099999999999998</v>
      </c>
      <c r="H245">
        <f t="shared" si="59"/>
        <v>578</v>
      </c>
      <c r="I245" s="17">
        <f t="shared" si="60"/>
        <v>2.974771641095415E-2</v>
      </c>
      <c r="J245" s="17">
        <f t="shared" si="60"/>
        <v>3.1775361410391875E-2</v>
      </c>
      <c r="K245" s="17">
        <f t="shared" si="60"/>
        <v>5.2272006547353207E-2</v>
      </c>
      <c r="L245" s="17">
        <f t="shared" si="60"/>
        <v>6.5367181359398466E-2</v>
      </c>
      <c r="M245" s="17">
        <f t="shared" si="60"/>
        <v>3.9377714522838919E-2</v>
      </c>
    </row>
    <row r="246" spans="6:13" x14ac:dyDescent="0.2">
      <c r="F246">
        <v>852</v>
      </c>
      <c r="G246">
        <f t="shared" si="58"/>
        <v>0.85199999999999998</v>
      </c>
      <c r="H246">
        <f t="shared" si="59"/>
        <v>579</v>
      </c>
      <c r="I246" s="17">
        <f t="shared" si="60"/>
        <v>2.975030529000516E-2</v>
      </c>
      <c r="J246" s="17">
        <f t="shared" si="60"/>
        <v>3.1781875493581364E-2</v>
      </c>
      <c r="K246" s="17">
        <f t="shared" si="60"/>
        <v>5.2287548730988322E-2</v>
      </c>
      <c r="L246" s="17">
        <f t="shared" si="60"/>
        <v>6.5413798707060142E-2</v>
      </c>
      <c r="M246" s="17">
        <f t="shared" si="60"/>
        <v>3.9390337276448563E-2</v>
      </c>
    </row>
    <row r="247" spans="6:13" x14ac:dyDescent="0.2">
      <c r="F247">
        <v>853</v>
      </c>
      <c r="G247">
        <f t="shared" si="58"/>
        <v>0.85299999999999998</v>
      </c>
      <c r="H247">
        <f t="shared" si="59"/>
        <v>580</v>
      </c>
      <c r="I247" s="17">
        <f t="shared" ref="I247:M256" si="61">(I$159+I$160*$G247+I$161*($G247^2)+I$162*($G247^3)+I$163/($G247^2))/1000</f>
        <v>2.9752901054320564E-2</v>
      </c>
      <c r="J247" s="17">
        <f t="shared" si="61"/>
        <v>3.1788385389615488E-2</v>
      </c>
      <c r="K247" s="17">
        <f t="shared" si="61"/>
        <v>5.2303062608196227E-2</v>
      </c>
      <c r="L247" s="17">
        <f t="shared" si="61"/>
        <v>6.5460368708698771E-2</v>
      </c>
      <c r="M247" s="17">
        <f t="shared" si="61"/>
        <v>3.940296159594997E-2</v>
      </c>
    </row>
    <row r="248" spans="6:13" x14ac:dyDescent="0.2">
      <c r="F248">
        <v>854</v>
      </c>
      <c r="G248">
        <f t="shared" si="58"/>
        <v>0.85399999999999998</v>
      </c>
      <c r="H248">
        <f t="shared" si="59"/>
        <v>581</v>
      </c>
      <c r="I248" s="17">
        <f t="shared" si="61"/>
        <v>2.9755503695714551E-2</v>
      </c>
      <c r="J248" s="17">
        <f t="shared" si="61"/>
        <v>3.1794891078590889E-2</v>
      </c>
      <c r="K248" s="17">
        <f t="shared" si="61"/>
        <v>5.231854823395031E-2</v>
      </c>
      <c r="L248" s="17">
        <f t="shared" si="61"/>
        <v>6.5506891363322439E-2</v>
      </c>
      <c r="M248" s="17">
        <f t="shared" si="61"/>
        <v>3.9415587461758085E-2</v>
      </c>
    </row>
    <row r="249" spans="6:13" x14ac:dyDescent="0.2">
      <c r="F249">
        <v>855</v>
      </c>
      <c r="G249">
        <f t="shared" si="58"/>
        <v>0.85499999999999998</v>
      </c>
      <c r="H249">
        <f t="shared" si="59"/>
        <v>582</v>
      </c>
      <c r="I249" s="17">
        <f t="shared" si="61"/>
        <v>2.9758113205951908E-2</v>
      </c>
      <c r="J249" s="17">
        <f t="shared" si="61"/>
        <v>3.1801392540768594E-2</v>
      </c>
      <c r="K249" s="17">
        <f t="shared" si="61"/>
        <v>5.2334005663181353E-2</v>
      </c>
      <c r="L249" s="17">
        <f t="shared" si="61"/>
        <v>6.555336667015052E-2</v>
      </c>
      <c r="M249" s="17">
        <f t="shared" si="61"/>
        <v>3.9428214854313484E-2</v>
      </c>
    </row>
    <row r="250" spans="6:13" x14ac:dyDescent="0.2">
      <c r="F250">
        <v>856</v>
      </c>
      <c r="G250">
        <f t="shared" si="58"/>
        <v>0.85599999999999998</v>
      </c>
      <c r="H250">
        <f t="shared" si="59"/>
        <v>583</v>
      </c>
      <c r="I250" s="17">
        <f t="shared" si="61"/>
        <v>2.9760729576748357E-2</v>
      </c>
      <c r="J250" s="17">
        <f t="shared" si="61"/>
        <v>3.1807889756572783E-2</v>
      </c>
      <c r="K250" s="17">
        <f t="shared" si="61"/>
        <v>5.2349434950777901E-2</v>
      </c>
      <c r="L250" s="17">
        <f t="shared" si="61"/>
        <v>6.5599794628612346E-2</v>
      </c>
      <c r="M250" s="17">
        <f t="shared" si="61"/>
        <v>3.9440843754082119E-2</v>
      </c>
    </row>
    <row r="251" spans="6:13" x14ac:dyDescent="0.2">
      <c r="F251">
        <v>857</v>
      </c>
      <c r="G251">
        <f t="shared" si="58"/>
        <v>0.85699999999999998</v>
      </c>
      <c r="H251">
        <f t="shared" si="59"/>
        <v>584</v>
      </c>
      <c r="I251" s="17">
        <f t="shared" si="61"/>
        <v>2.9763352799770926E-2</v>
      </c>
      <c r="J251" s="17">
        <f t="shared" si="61"/>
        <v>3.1814382706589754E-2</v>
      </c>
      <c r="K251" s="17">
        <f t="shared" si="61"/>
        <v>5.2364836151586498E-2</v>
      </c>
      <c r="L251" s="17">
        <f t="shared" si="61"/>
        <v>6.5646175238345664E-2</v>
      </c>
      <c r="M251" s="17">
        <f t="shared" si="61"/>
        <v>3.9453474141555207E-2</v>
      </c>
    </row>
    <row r="252" spans="6:13" x14ac:dyDescent="0.2">
      <c r="F252">
        <v>858</v>
      </c>
      <c r="G252">
        <f t="shared" si="58"/>
        <v>0.85799999999999998</v>
      </c>
      <c r="H252">
        <f t="shared" si="59"/>
        <v>585</v>
      </c>
      <c r="I252" s="17">
        <f t="shared" si="61"/>
        <v>2.9765982866638282E-2</v>
      </c>
      <c r="J252" s="17">
        <f t="shared" si="61"/>
        <v>3.1820871371566715E-2</v>
      </c>
      <c r="K252" s="17">
        <f t="shared" si="61"/>
        <v>5.2380209320412041E-2</v>
      </c>
      <c r="L252" s="17">
        <f t="shared" si="61"/>
        <v>6.5692508499195237E-2</v>
      </c>
      <c r="M252" s="17">
        <f t="shared" si="61"/>
        <v>3.9466105997248951E-2</v>
      </c>
    </row>
    <row r="253" spans="6:13" x14ac:dyDescent="0.2">
      <c r="F253">
        <v>859</v>
      </c>
      <c r="G253">
        <f t="shared" si="58"/>
        <v>0.85899999999999999</v>
      </c>
      <c r="H253">
        <f t="shared" si="59"/>
        <v>586</v>
      </c>
      <c r="I253" s="17">
        <f t="shared" si="61"/>
        <v>2.9768619768921065E-2</v>
      </c>
      <c r="J253" s="17">
        <f t="shared" si="61"/>
        <v>3.1827355732410682E-2</v>
      </c>
      <c r="K253" s="17">
        <f t="shared" si="61"/>
        <v>5.2395554512018022E-2</v>
      </c>
      <c r="L253" s="17">
        <f t="shared" si="61"/>
        <v>6.5738794411211318E-2</v>
      </c>
      <c r="M253" s="17">
        <f t="shared" si="61"/>
        <v>3.9478739301704542E-2</v>
      </c>
    </row>
    <row r="254" spans="6:13" x14ac:dyDescent="0.2">
      <c r="F254">
        <v>860</v>
      </c>
      <c r="G254">
        <f t="shared" si="58"/>
        <v>0.86</v>
      </c>
      <c r="H254">
        <f t="shared" si="59"/>
        <v>587</v>
      </c>
      <c r="I254" s="17">
        <f t="shared" si="61"/>
        <v>2.9771263498142211E-2</v>
      </c>
      <c r="J254" s="17">
        <f t="shared" si="61"/>
        <v>3.1833835770187398E-2</v>
      </c>
      <c r="K254" s="17">
        <f t="shared" si="61"/>
        <v>5.2410871781126848E-2</v>
      </c>
      <c r="L254" s="17">
        <f t="shared" si="61"/>
        <v>6.5785032974648272E-2</v>
      </c>
      <c r="M254" s="17">
        <f t="shared" si="61"/>
        <v>3.9491374035487768E-2</v>
      </c>
    </row>
    <row r="255" spans="6:13" x14ac:dyDescent="0.2">
      <c r="F255">
        <v>861</v>
      </c>
      <c r="G255">
        <f t="shared" si="58"/>
        <v>0.86099999999999999</v>
      </c>
      <c r="H255">
        <f t="shared" si="59"/>
        <v>588</v>
      </c>
      <c r="I255" s="17">
        <f t="shared" si="61"/>
        <v>2.9773914045777304E-2</v>
      </c>
      <c r="J255" s="17">
        <f t="shared" si="61"/>
        <v>3.1840311466120146E-2</v>
      </c>
      <c r="K255" s="17">
        <f t="shared" si="61"/>
        <v>5.2426161182420092E-2</v>
      </c>
      <c r="L255" s="17">
        <f t="shared" si="61"/>
        <v>6.5831224189963206E-2</v>
      </c>
      <c r="M255" s="17">
        <f t="shared" si="61"/>
        <v>3.9504010179189024E-2</v>
      </c>
    </row>
    <row r="256" spans="6:13" x14ac:dyDescent="0.2">
      <c r="F256">
        <v>862</v>
      </c>
      <c r="G256">
        <f t="shared" si="58"/>
        <v>0.86199999999999999</v>
      </c>
      <c r="H256">
        <f t="shared" si="59"/>
        <v>589</v>
      </c>
      <c r="I256" s="17">
        <f t="shared" si="61"/>
        <v>2.9776571403254896E-2</v>
      </c>
      <c r="J256" s="17">
        <f t="shared" si="61"/>
        <v>3.1846782801588751E-2</v>
      </c>
      <c r="K256" s="17">
        <f t="shared" si="61"/>
        <v>5.2441422770538808E-2</v>
      </c>
      <c r="L256" s="17">
        <f t="shared" si="61"/>
        <v>6.5877368057814467E-2</v>
      </c>
      <c r="M256" s="17">
        <f t="shared" si="61"/>
        <v>3.9516647713423024E-2</v>
      </c>
    </row>
    <row r="257" spans="6:13" x14ac:dyDescent="0.2">
      <c r="F257">
        <v>863</v>
      </c>
      <c r="G257">
        <f t="shared" si="58"/>
        <v>0.86299999999999999</v>
      </c>
      <c r="H257">
        <f t="shared" si="59"/>
        <v>590</v>
      </c>
      <c r="I257" s="17">
        <f t="shared" ref="I257:M266" si="62">(I$159+I$160*$G257+I$161*($G257^2)+I$162*($G257^3)+I$163/($G257^2))/1000</f>
        <v>2.9779235561956833E-2</v>
      </c>
      <c r="J257" s="17">
        <f t="shared" si="62"/>
        <v>3.1853249758128407E-2</v>
      </c>
      <c r="K257" s="17">
        <f t="shared" si="62"/>
        <v>5.2456656600083792E-2</v>
      </c>
      <c r="L257" s="17">
        <f t="shared" si="62"/>
        <v>6.5923464579060204E-2</v>
      </c>
      <c r="M257" s="17">
        <f t="shared" si="62"/>
        <v>3.9529286618828735E-2</v>
      </c>
    </row>
    <row r="258" spans="6:13" x14ac:dyDescent="0.2">
      <c r="F258">
        <v>864</v>
      </c>
      <c r="G258">
        <f t="shared" si="58"/>
        <v>0.86399999999999999</v>
      </c>
      <c r="H258">
        <f t="shared" si="59"/>
        <v>591</v>
      </c>
      <c r="I258" s="17">
        <f t="shared" si="62"/>
        <v>2.9781906513218593E-2</v>
      </c>
      <c r="J258" s="17">
        <f t="shared" si="62"/>
        <v>3.1859712317428679E-2</v>
      </c>
      <c r="K258" s="17">
        <f t="shared" si="62"/>
        <v>5.2471862725615902E-2</v>
      </c>
      <c r="L258" s="17">
        <f t="shared" si="62"/>
        <v>6.5969513754757167E-2</v>
      </c>
      <c r="M258" s="17">
        <f t="shared" si="62"/>
        <v>3.9541926876069076E-2</v>
      </c>
    </row>
    <row r="259" spans="6:13" x14ac:dyDescent="0.2">
      <c r="F259">
        <v>865</v>
      </c>
      <c r="G259">
        <f t="shared" si="58"/>
        <v>0.86499999999999999</v>
      </c>
      <c r="H259">
        <f t="shared" si="59"/>
        <v>592</v>
      </c>
      <c r="I259" s="17">
        <f t="shared" si="62"/>
        <v>2.9784584248329572E-2</v>
      </c>
      <c r="J259" s="17">
        <f t="shared" si="62"/>
        <v>3.186617046133236E-2</v>
      </c>
      <c r="K259" s="17">
        <f t="shared" si="62"/>
        <v>5.248704120165628E-2</v>
      </c>
      <c r="L259" s="17">
        <f t="shared" si="62"/>
        <v>6.6015515586159174E-2</v>
      </c>
      <c r="M259" s="17">
        <f t="shared" si="62"/>
        <v>3.9554568465830879E-2</v>
      </c>
    </row>
    <row r="260" spans="6:13" x14ac:dyDescent="0.2">
      <c r="F260">
        <v>866</v>
      </c>
      <c r="G260">
        <f t="shared" si="58"/>
        <v>0.86599999999999999</v>
      </c>
      <c r="H260">
        <f t="shared" si="59"/>
        <v>593</v>
      </c>
      <c r="I260" s="17">
        <f t="shared" si="62"/>
        <v>2.978726875853345E-2</v>
      </c>
      <c r="J260" s="17">
        <f t="shared" si="62"/>
        <v>3.1872624171834452E-2</v>
      </c>
      <c r="K260" s="17">
        <f t="shared" si="62"/>
        <v>5.2502192082686666E-2</v>
      </c>
      <c r="L260" s="17">
        <f t="shared" si="62"/>
        <v>6.6061470074715745E-2</v>
      </c>
      <c r="M260" s="17">
        <f t="shared" si="62"/>
        <v>3.9567211368824656E-2</v>
      </c>
    </row>
    <row r="261" spans="6:13" x14ac:dyDescent="0.2">
      <c r="F261">
        <v>867</v>
      </c>
      <c r="G261">
        <f t="shared" si="58"/>
        <v>0.86699999999999999</v>
      </c>
      <c r="H261">
        <f t="shared" si="59"/>
        <v>594</v>
      </c>
      <c r="I261" s="17">
        <f t="shared" si="62"/>
        <v>2.9789960035028464E-2</v>
      </c>
      <c r="J261" s="17">
        <f t="shared" si="62"/>
        <v>3.1879073431081088E-2</v>
      </c>
      <c r="K261" s="17">
        <f t="shared" si="62"/>
        <v>5.2517315423149649E-2</v>
      </c>
      <c r="L261" s="17">
        <f t="shared" si="62"/>
        <v>6.6107377222070871E-2</v>
      </c>
      <c r="M261" s="17">
        <f t="shared" si="62"/>
        <v>3.9579855565784451E-2</v>
      </c>
    </row>
    <row r="262" spans="6:13" x14ac:dyDescent="0.2">
      <c r="F262">
        <v>868</v>
      </c>
      <c r="G262">
        <f t="shared" si="58"/>
        <v>0.86799999999999999</v>
      </c>
      <c r="H262">
        <f t="shared" si="59"/>
        <v>595</v>
      </c>
      <c r="I262" s="17">
        <f t="shared" si="62"/>
        <v>2.9792658068967765E-2</v>
      </c>
      <c r="J262" s="17">
        <f t="shared" si="62"/>
        <v>3.1885518221368529E-2</v>
      </c>
      <c r="K262" s="17">
        <f t="shared" si="62"/>
        <v>5.2532411277448919E-2</v>
      </c>
      <c r="L262" s="17">
        <f t="shared" si="62"/>
        <v>6.6153237030061526E-2</v>
      </c>
      <c r="M262" s="17">
        <f t="shared" si="62"/>
        <v>3.9592501037467649E-2</v>
      </c>
    </row>
    <row r="263" spans="6:13" x14ac:dyDescent="0.2">
      <c r="F263">
        <v>869</v>
      </c>
      <c r="G263">
        <f t="shared" si="58"/>
        <v>0.86899999999999999</v>
      </c>
      <c r="H263">
        <f t="shared" si="59"/>
        <v>596</v>
      </c>
      <c r="I263" s="17">
        <f t="shared" si="62"/>
        <v>2.9795362851459683E-2</v>
      </c>
      <c r="J263" s="17">
        <f t="shared" si="62"/>
        <v>3.1891958525142081E-2</v>
      </c>
      <c r="K263" s="17">
        <f t="shared" si="62"/>
        <v>5.2547479699949606E-2</v>
      </c>
      <c r="L263" s="17">
        <f t="shared" si="62"/>
        <v>6.619904950071645E-2</v>
      </c>
      <c r="M263" s="17">
        <f t="shared" si="62"/>
        <v>3.9605147764654895E-2</v>
      </c>
    </row>
    <row r="264" spans="6:13" x14ac:dyDescent="0.2">
      <c r="F264">
        <v>870</v>
      </c>
      <c r="G264">
        <f t="shared" si="58"/>
        <v>0.87</v>
      </c>
      <c r="H264">
        <f t="shared" si="59"/>
        <v>597</v>
      </c>
      <c r="I264" s="17">
        <f t="shared" si="62"/>
        <v>2.9798074373568066E-2</v>
      </c>
      <c r="J264" s="17">
        <f t="shared" si="62"/>
        <v>3.1898394324995083E-2</v>
      </c>
      <c r="K264" s="17">
        <f t="shared" si="62"/>
        <v>5.2562520744978476E-2</v>
      </c>
      <c r="L264" s="17">
        <f t="shared" si="62"/>
        <v>6.6244814636254756E-2</v>
      </c>
      <c r="M264" s="17">
        <f t="shared" si="62"/>
        <v>3.9617795728149843E-2</v>
      </c>
    </row>
    <row r="265" spans="6:13" x14ac:dyDescent="0.2">
      <c r="F265">
        <v>871</v>
      </c>
      <c r="G265">
        <f t="shared" si="58"/>
        <v>0.871</v>
      </c>
      <c r="H265">
        <f t="shared" si="59"/>
        <v>598</v>
      </c>
      <c r="I265" s="17">
        <f t="shared" si="62"/>
        <v>2.9800792626312585E-2</v>
      </c>
      <c r="J265" s="17">
        <f t="shared" si="62"/>
        <v>3.1904825603667905E-2</v>
      </c>
      <c r="K265" s="17">
        <f t="shared" si="62"/>
        <v>5.2577534466824227E-2</v>
      </c>
      <c r="L265" s="17">
        <f t="shared" si="62"/>
        <v>6.6290532439084615E-2</v>
      </c>
      <c r="M265" s="17">
        <f t="shared" si="62"/>
        <v>3.9630444908779039E-2</v>
      </c>
    </row>
    <row r="266" spans="6:13" x14ac:dyDescent="0.2">
      <c r="F266">
        <v>872</v>
      </c>
      <c r="G266">
        <f t="shared" si="58"/>
        <v>0.872</v>
      </c>
      <c r="H266">
        <f t="shared" si="59"/>
        <v>599</v>
      </c>
      <c r="I266" s="17">
        <f t="shared" si="62"/>
        <v>2.980351760066904E-2</v>
      </c>
      <c r="J266" s="17">
        <f t="shared" si="62"/>
        <v>3.1911252344046945E-2</v>
      </c>
      <c r="K266" s="17">
        <f t="shared" si="62"/>
        <v>5.2592520919737748E-2</v>
      </c>
      <c r="L266" s="17">
        <f t="shared" si="62"/>
        <v>6.6336202911802047E-2</v>
      </c>
      <c r="M266" s="17">
        <f t="shared" si="62"/>
        <v>3.9643095287391773E-2</v>
      </c>
    </row>
    <row r="267" spans="6:13" x14ac:dyDescent="0.2">
      <c r="F267">
        <v>873</v>
      </c>
      <c r="G267">
        <f t="shared" si="58"/>
        <v>0.873</v>
      </c>
      <c r="H267">
        <f t="shared" si="59"/>
        <v>600</v>
      </c>
      <c r="I267" s="17">
        <f t="shared" ref="I267:M276" si="63">(I$159+I$160*$G267+I$161*($G267^2)+I$162*($G267^3)+I$163/($G267^2))/1000</f>
        <v>2.9806249287569621E-2</v>
      </c>
      <c r="J267" s="17">
        <f t="shared" si="63"/>
        <v>3.1917674529163546E-2</v>
      </c>
      <c r="K267" s="17">
        <f t="shared" si="63"/>
        <v>5.2607480157932353E-2</v>
      </c>
      <c r="L267" s="17">
        <f t="shared" si="63"/>
        <v>6.6381826057189522E-2</v>
      </c>
      <c r="M267" s="17">
        <f t="shared" si="63"/>
        <v>3.9655746844859903E-2</v>
      </c>
    </row>
    <row r="268" spans="6:13" x14ac:dyDescent="0.2">
      <c r="F268">
        <v>874</v>
      </c>
      <c r="G268">
        <f t="shared" si="58"/>
        <v>0.874</v>
      </c>
      <c r="H268">
        <f t="shared" si="59"/>
        <v>601</v>
      </c>
      <c r="I268" s="17">
        <f t="shared" si="63"/>
        <v>2.9808987677903274E-2</v>
      </c>
      <c r="J268" s="17">
        <f t="shared" si="63"/>
        <v>3.1924092142193126E-2</v>
      </c>
      <c r="K268" s="17">
        <f t="shared" si="63"/>
        <v>5.2622412235584087E-2</v>
      </c>
      <c r="L268" s="17">
        <f t="shared" si="63"/>
        <v>6.642740187821472E-2</v>
      </c>
      <c r="M268" s="17">
        <f t="shared" si="63"/>
        <v>3.9668399562077711E-2</v>
      </c>
    </row>
    <row r="269" spans="6:13" x14ac:dyDescent="0.2">
      <c r="F269">
        <v>875</v>
      </c>
      <c r="G269">
        <f t="shared" si="58"/>
        <v>0.875</v>
      </c>
      <c r="H269">
        <f t="shared" si="59"/>
        <v>602</v>
      </c>
      <c r="I269" s="17">
        <f t="shared" si="63"/>
        <v>2.9811732762515943E-2</v>
      </c>
      <c r="J269" s="17">
        <f t="shared" si="63"/>
        <v>3.1930505166454085E-2</v>
      </c>
      <c r="K269" s="17">
        <f t="shared" si="63"/>
        <v>5.2637317206831943E-2</v>
      </c>
      <c r="L269" s="17">
        <f t="shared" si="63"/>
        <v>6.6472930378029343E-2</v>
      </c>
      <c r="M269" s="17">
        <f t="shared" si="63"/>
        <v>3.9681053419961726E-2</v>
      </c>
    </row>
    <row r="270" spans="6:13" x14ac:dyDescent="0.2">
      <c r="F270">
        <v>876</v>
      </c>
      <c r="G270">
        <f t="shared" si="58"/>
        <v>0.876</v>
      </c>
      <c r="H270">
        <f t="shared" si="59"/>
        <v>603</v>
      </c>
      <c r="I270" s="17">
        <f t="shared" si="63"/>
        <v>2.9814484532210896E-2</v>
      </c>
      <c r="J270" s="17">
        <f t="shared" si="63"/>
        <v>3.1936913585406873E-2</v>
      </c>
      <c r="K270" s="17">
        <f t="shared" si="63"/>
        <v>5.2652195125778151E-2</v>
      </c>
      <c r="L270" s="17">
        <f t="shared" si="63"/>
        <v>6.6518411559967655E-2</v>
      </c>
      <c r="M270" s="17">
        <f t="shared" si="63"/>
        <v>3.9693708399450627E-2</v>
      </c>
    </row>
    <row r="271" spans="6:13" x14ac:dyDescent="0.2">
      <c r="F271">
        <v>877</v>
      </c>
      <c r="G271">
        <f t="shared" si="58"/>
        <v>0.877</v>
      </c>
      <c r="H271">
        <f t="shared" si="59"/>
        <v>604</v>
      </c>
      <c r="I271" s="17">
        <f t="shared" si="63"/>
        <v>2.981724297774899E-2</v>
      </c>
      <c r="J271" s="17">
        <f t="shared" si="63"/>
        <v>3.1943317382653033E-2</v>
      </c>
      <c r="K271" s="17">
        <f t="shared" si="63"/>
        <v>5.2667046046488336E-2</v>
      </c>
      <c r="L271" s="17">
        <f t="shared" si="63"/>
        <v>6.6563845427545468E-2</v>
      </c>
      <c r="M271" s="17">
        <f t="shared" si="63"/>
        <v>3.9706364481505024E-2</v>
      </c>
    </row>
    <row r="272" spans="6:13" x14ac:dyDescent="0.2">
      <c r="F272">
        <v>878</v>
      </c>
      <c r="G272">
        <f t="shared" si="58"/>
        <v>0.878</v>
      </c>
      <c r="H272">
        <f t="shared" si="59"/>
        <v>605</v>
      </c>
      <c r="I272" s="17">
        <f t="shared" si="63"/>
        <v>2.9820008089848991E-2</v>
      </c>
      <c r="J272" s="17">
        <f t="shared" si="63"/>
        <v>3.1949716541934188E-2</v>
      </c>
      <c r="K272" s="17">
        <f t="shared" si="63"/>
        <v>5.2681870022991933E-2</v>
      </c>
      <c r="L272" s="17">
        <f t="shared" si="63"/>
        <v>6.66092319844587E-2</v>
      </c>
      <c r="M272" s="17">
        <f t="shared" si="63"/>
        <v>3.9719021647107354E-2</v>
      </c>
    </row>
    <row r="273" spans="6:13" x14ac:dyDescent="0.2">
      <c r="F273">
        <v>879</v>
      </c>
      <c r="G273">
        <f t="shared" si="58"/>
        <v>0.879</v>
      </c>
      <c r="H273">
        <f t="shared" si="59"/>
        <v>606</v>
      </c>
      <c r="I273" s="17">
        <f t="shared" si="63"/>
        <v>2.9822779859187833E-2</v>
      </c>
      <c r="J273" s="17">
        <f t="shared" si="63"/>
        <v>3.1956111047131135E-2</v>
      </c>
      <c r="K273" s="17">
        <f t="shared" si="63"/>
        <v>5.2696667109282259E-2</v>
      </c>
      <c r="L273" s="17">
        <f t="shared" si="63"/>
        <v>6.6654571234582349E-2</v>
      </c>
      <c r="M273" s="17">
        <f t="shared" si="63"/>
        <v>3.9731679877261721E-2</v>
      </c>
    </row>
    <row r="274" spans="6:13" x14ac:dyDescent="0.2">
      <c r="F274">
        <v>880</v>
      </c>
      <c r="G274">
        <f t="shared" si="58"/>
        <v>0.88</v>
      </c>
      <c r="H274">
        <f t="shared" si="59"/>
        <v>607</v>
      </c>
      <c r="I274" s="17">
        <f t="shared" si="63"/>
        <v>2.9825558276400925E-2</v>
      </c>
      <c r="J274" s="17">
        <f t="shared" si="63"/>
        <v>3.1962500882262879E-2</v>
      </c>
      <c r="K274" s="17">
        <f t="shared" si="63"/>
        <v>5.2711437359316896E-2</v>
      </c>
      <c r="L274" s="17">
        <f t="shared" si="63"/>
        <v>6.6699863181969063E-2</v>
      </c>
      <c r="M274" s="17">
        <f t="shared" si="63"/>
        <v>3.9744339152993718E-2</v>
      </c>
    </row>
    <row r="275" spans="6:13" x14ac:dyDescent="0.2">
      <c r="F275">
        <v>881</v>
      </c>
      <c r="G275">
        <f t="shared" si="58"/>
        <v>0.88100000000000001</v>
      </c>
      <c r="H275">
        <f t="shared" si="59"/>
        <v>608</v>
      </c>
      <c r="I275" s="17">
        <f t="shared" si="63"/>
        <v>2.9828343332082424E-2</v>
      </c>
      <c r="J275" s="17">
        <f t="shared" si="63"/>
        <v>3.1968886031485663E-2</v>
      </c>
      <c r="K275" s="17">
        <f t="shared" si="63"/>
        <v>5.2726180827017834E-2</v>
      </c>
      <c r="L275" s="17">
        <f t="shared" si="63"/>
        <v>6.6745107830848055E-2</v>
      </c>
      <c r="M275" s="17">
        <f t="shared" si="63"/>
        <v>3.9756999455350349E-2</v>
      </c>
    </row>
    <row r="276" spans="6:13" x14ac:dyDescent="0.2">
      <c r="F276">
        <v>882</v>
      </c>
      <c r="G276">
        <f t="shared" si="58"/>
        <v>0.88200000000000001</v>
      </c>
      <c r="H276">
        <f t="shared" si="59"/>
        <v>609</v>
      </c>
      <c r="I276" s="17">
        <f t="shared" si="63"/>
        <v>2.9831135016785512E-2</v>
      </c>
      <c r="J276" s="17">
        <f t="shared" si="63"/>
        <v>3.1975266479092088E-2</v>
      </c>
      <c r="K276" s="17">
        <f t="shared" si="63"/>
        <v>5.2740897566271781E-2</v>
      </c>
      <c r="L276" s="17">
        <f t="shared" si="63"/>
        <v>6.6790305185623955E-2</v>
      </c>
      <c r="M276" s="17">
        <f t="shared" si="63"/>
        <v>3.9769660765399818E-2</v>
      </c>
    </row>
    <row r="277" spans="6:13" x14ac:dyDescent="0.2">
      <c r="F277">
        <v>883</v>
      </c>
      <c r="G277">
        <f t="shared" si="58"/>
        <v>0.88300000000000001</v>
      </c>
      <c r="H277">
        <f t="shared" si="59"/>
        <v>610</v>
      </c>
      <c r="I277" s="17">
        <f t="shared" ref="I277:M286" si="64">(I$159+I$160*$G277+I$161*($G277^2)+I$162*($G277^3)+I$163/($G277^2))/1000</f>
        <v>2.9833933321022681E-2</v>
      </c>
      <c r="J277" s="17">
        <f t="shared" si="64"/>
        <v>3.1981642209510143E-2</v>
      </c>
      <c r="K277" s="17">
        <f t="shared" si="64"/>
        <v>5.2755587630930384E-2</v>
      </c>
      <c r="L277" s="17">
        <f t="shared" si="64"/>
        <v>6.6835455250875447E-2</v>
      </c>
      <c r="M277" s="17">
        <f t="shared" si="64"/>
        <v>3.9782323064231406E-2</v>
      </c>
    </row>
    <row r="278" spans="6:13" x14ac:dyDescent="0.2">
      <c r="F278">
        <v>884</v>
      </c>
      <c r="G278">
        <f t="shared" si="58"/>
        <v>0.88400000000000001</v>
      </c>
      <c r="H278">
        <f t="shared" si="59"/>
        <v>611</v>
      </c>
      <c r="I278" s="17">
        <f t="shared" si="64"/>
        <v>2.9836738235265996E-2</v>
      </c>
      <c r="J278" s="17">
        <f t="shared" si="64"/>
        <v>3.1988013207302324E-2</v>
      </c>
      <c r="K278" s="17">
        <f t="shared" si="64"/>
        <v>5.2770251074810419E-2</v>
      </c>
      <c r="L278" s="17">
        <f t="shared" si="64"/>
        <v>6.688055803135419E-2</v>
      </c>
      <c r="M278" s="17">
        <f t="shared" si="64"/>
        <v>3.9794986332955348E-2</v>
      </c>
    </row>
    <row r="279" spans="6:13" x14ac:dyDescent="0.2">
      <c r="F279">
        <v>885</v>
      </c>
      <c r="G279">
        <f t="shared" si="58"/>
        <v>0.88500000000000001</v>
      </c>
      <c r="H279">
        <f t="shared" si="59"/>
        <v>612</v>
      </c>
      <c r="I279" s="17">
        <f t="shared" si="64"/>
        <v>2.9839549749947406E-2</v>
      </c>
      <c r="J279" s="17">
        <f t="shared" si="64"/>
        <v>3.1994379457164671E-2</v>
      </c>
      <c r="K279" s="17">
        <f t="shared" si="64"/>
        <v>5.2784887951694129E-2</v>
      </c>
      <c r="L279" s="17">
        <f t="shared" si="64"/>
        <v>6.6925613531983674E-2</v>
      </c>
      <c r="M279" s="17">
        <f t="shared" si="64"/>
        <v>3.9807650552702661E-2</v>
      </c>
    </row>
    <row r="280" spans="6:13" x14ac:dyDescent="0.2">
      <c r="F280">
        <v>886</v>
      </c>
      <c r="G280">
        <f t="shared" si="58"/>
        <v>0.88600000000000001</v>
      </c>
      <c r="H280">
        <f t="shared" si="59"/>
        <v>613</v>
      </c>
      <c r="I280" s="17">
        <f t="shared" si="64"/>
        <v>2.9842367855458948E-2</v>
      </c>
      <c r="J280" s="17">
        <f t="shared" si="64"/>
        <v>3.200074094392593E-2</v>
      </c>
      <c r="K280" s="17">
        <f t="shared" si="64"/>
        <v>5.279949831532936E-2</v>
      </c>
      <c r="L280" s="17">
        <f t="shared" si="64"/>
        <v>6.6970621757858007E-2</v>
      </c>
      <c r="M280" s="17">
        <f t="shared" si="64"/>
        <v>3.9820315704625027E-2</v>
      </c>
    </row>
    <row r="281" spans="6:13" x14ac:dyDescent="0.2">
      <c r="F281">
        <v>887</v>
      </c>
      <c r="G281">
        <f t="shared" si="58"/>
        <v>0.88700000000000001</v>
      </c>
      <c r="H281">
        <f t="shared" si="59"/>
        <v>614</v>
      </c>
      <c r="I281" s="17">
        <f t="shared" si="64"/>
        <v>2.9845192542153093E-2</v>
      </c>
      <c r="J281" s="17">
        <f t="shared" si="64"/>
        <v>3.2007097652546598E-2</v>
      </c>
      <c r="K281" s="17">
        <f t="shared" si="64"/>
        <v>5.2814082219429827E-2</v>
      </c>
      <c r="L281" s="17">
        <f t="shared" si="64"/>
        <v>6.7015582714240823E-2</v>
      </c>
      <c r="M281" s="17">
        <f t="shared" si="64"/>
        <v>3.9832981769894638E-2</v>
      </c>
    </row>
    <row r="282" spans="6:13" x14ac:dyDescent="0.2">
      <c r="F282">
        <v>888</v>
      </c>
      <c r="G282">
        <f t="shared" si="58"/>
        <v>0.88800000000000001</v>
      </c>
      <c r="H282">
        <f t="shared" si="59"/>
        <v>615</v>
      </c>
      <c r="I282" s="17">
        <f t="shared" si="64"/>
        <v>2.984802380034296E-2</v>
      </c>
      <c r="J282" s="17">
        <f t="shared" si="64"/>
        <v>3.2013449568118066E-2</v>
      </c>
      <c r="K282" s="17">
        <f t="shared" si="64"/>
        <v>5.2828639717675367E-2</v>
      </c>
      <c r="L282" s="17">
        <f t="shared" si="64"/>
        <v>6.7060496406564002E-2</v>
      </c>
      <c r="M282" s="17">
        <f t="shared" si="64"/>
        <v>3.9845648729704058E-2</v>
      </c>
    </row>
    <row r="283" spans="6:13" x14ac:dyDescent="0.2">
      <c r="F283">
        <v>889</v>
      </c>
      <c r="G283">
        <f t="shared" si="58"/>
        <v>0.88900000000000001</v>
      </c>
      <c r="H283">
        <f t="shared" si="59"/>
        <v>616</v>
      </c>
      <c r="I283" s="17">
        <f t="shared" si="64"/>
        <v>2.9850861620302614E-2</v>
      </c>
      <c r="J283" s="17">
        <f t="shared" si="64"/>
        <v>3.2019796675861724E-2</v>
      </c>
      <c r="K283" s="17">
        <f t="shared" si="64"/>
        <v>5.2843170863712131E-2</v>
      </c>
      <c r="L283" s="17">
        <f t="shared" si="64"/>
        <v>6.7105362840426688E-2</v>
      </c>
      <c r="M283" s="17">
        <f t="shared" si="64"/>
        <v>3.9858316565266096E-2</v>
      </c>
    </row>
    <row r="284" spans="6:13" x14ac:dyDescent="0.2">
      <c r="F284">
        <v>890</v>
      </c>
      <c r="G284">
        <f t="shared" si="58"/>
        <v>0.89</v>
      </c>
      <c r="H284">
        <f t="shared" si="59"/>
        <v>617</v>
      </c>
      <c r="I284" s="17">
        <f t="shared" si="64"/>
        <v>2.9853705992267287E-2</v>
      </c>
      <c r="J284" s="17">
        <f t="shared" si="64"/>
        <v>3.2026138961128076E-2</v>
      </c>
      <c r="K284" s="17">
        <f t="shared" si="64"/>
        <v>5.2857675711152866E-2</v>
      </c>
      <c r="L284" s="17">
        <f t="shared" si="64"/>
        <v>6.715018202159409E-2</v>
      </c>
      <c r="M284" s="17">
        <f t="shared" si="64"/>
        <v>3.9870985257813657E-2</v>
      </c>
    </row>
    <row r="285" spans="6:13" x14ac:dyDescent="0.2">
      <c r="F285">
        <v>891</v>
      </c>
      <c r="G285">
        <f t="shared" si="58"/>
        <v>0.89100000000000001</v>
      </c>
      <c r="H285">
        <f t="shared" si="59"/>
        <v>618</v>
      </c>
      <c r="I285" s="17">
        <f t="shared" si="64"/>
        <v>2.9856556906433698E-2</v>
      </c>
      <c r="J285" s="17">
        <f t="shared" si="64"/>
        <v>3.203247640939591E-2</v>
      </c>
      <c r="K285" s="17">
        <f t="shared" si="64"/>
        <v>5.2872154313577044E-2</v>
      </c>
      <c r="L285" s="17">
        <f t="shared" si="64"/>
        <v>6.7194953955996353E-2</v>
      </c>
      <c r="M285" s="17">
        <f t="shared" si="64"/>
        <v>3.9883654788599628E-2</v>
      </c>
    </row>
    <row r="286" spans="6:13" x14ac:dyDescent="0.2">
      <c r="F286">
        <v>892</v>
      </c>
      <c r="G286">
        <f t="shared" si="58"/>
        <v>0.89200000000000002</v>
      </c>
      <c r="H286">
        <f t="shared" si="59"/>
        <v>619</v>
      </c>
      <c r="I286" s="17">
        <f t="shared" si="64"/>
        <v>2.9859414352960252E-2</v>
      </c>
      <c r="J286" s="17">
        <f t="shared" si="64"/>
        <v>3.2038809006271395E-2</v>
      </c>
      <c r="K286" s="17">
        <f t="shared" si="64"/>
        <v>5.2886606724531188E-2</v>
      </c>
      <c r="L286" s="17">
        <f t="shared" si="64"/>
        <v>6.7239678649727463E-2</v>
      </c>
      <c r="M286" s="17">
        <f t="shared" si="64"/>
        <v>3.9896325138896724E-2</v>
      </c>
    </row>
    <row r="287" spans="6:13" x14ac:dyDescent="0.2">
      <c r="F287">
        <v>893</v>
      </c>
      <c r="G287">
        <f t="shared" si="58"/>
        <v>0.89300000000000002</v>
      </c>
      <c r="H287">
        <f t="shared" si="59"/>
        <v>620</v>
      </c>
      <c r="I287" s="17">
        <f t="shared" ref="I287:M296" si="65">(I$159+I$160*$G287+I$161*($G287^2)+I$162*($G287^3)+I$163/($G287^2))/1000</f>
        <v>2.9862278321967358E-2</v>
      </c>
      <c r="J287" s="17">
        <f t="shared" si="65"/>
        <v>3.2045136737487212E-2</v>
      </c>
      <c r="K287" s="17">
        <f t="shared" si="65"/>
        <v>5.2901032997529053E-2</v>
      </c>
      <c r="L287" s="17">
        <f t="shared" si="65"/>
        <v>6.7284356109044194E-2</v>
      </c>
      <c r="M287" s="17">
        <f t="shared" si="65"/>
        <v>3.9908996289997348E-2</v>
      </c>
    </row>
    <row r="288" spans="6:13" x14ac:dyDescent="0.2">
      <c r="F288">
        <v>894</v>
      </c>
      <c r="G288">
        <f t="shared" si="58"/>
        <v>0.89400000000000002</v>
      </c>
      <c r="H288">
        <f t="shared" si="59"/>
        <v>621</v>
      </c>
      <c r="I288" s="17">
        <f t="shared" si="65"/>
        <v>2.9865148803537626E-2</v>
      </c>
      <c r="J288" s="17">
        <f t="shared" si="65"/>
        <v>3.20514595889018E-2</v>
      </c>
      <c r="K288" s="17">
        <f t="shared" si="65"/>
        <v>5.2915433186051811E-2</v>
      </c>
      <c r="L288" s="17">
        <f t="shared" si="65"/>
        <v>6.7328986340364938E-2</v>
      </c>
      <c r="M288" s="17">
        <f t="shared" si="65"/>
        <v>3.9921668223213462E-2</v>
      </c>
    </row>
    <row r="289" spans="6:13" x14ac:dyDescent="0.2">
      <c r="F289">
        <v>895</v>
      </c>
      <c r="G289">
        <f t="shared" si="58"/>
        <v>0.89500000000000002</v>
      </c>
      <c r="H289">
        <f t="shared" si="59"/>
        <v>622</v>
      </c>
      <c r="I289" s="17">
        <f t="shared" si="65"/>
        <v>2.9868025787716135E-2</v>
      </c>
      <c r="J289" s="17">
        <f t="shared" si="65"/>
        <v>3.2057777546498363E-2</v>
      </c>
      <c r="K289" s="17">
        <f t="shared" si="65"/>
        <v>5.2929807343548338E-2</v>
      </c>
      <c r="L289" s="17">
        <f t="shared" si="65"/>
        <v>6.7373569350268642E-2</v>
      </c>
      <c r="M289" s="17">
        <f t="shared" si="65"/>
        <v>3.9934340919876521E-2</v>
      </c>
    </row>
    <row r="290" spans="6:13" x14ac:dyDescent="0.2">
      <c r="F290">
        <v>896</v>
      </c>
      <c r="G290">
        <f t="shared" si="58"/>
        <v>0.89600000000000002</v>
      </c>
      <c r="H290">
        <f t="shared" si="59"/>
        <v>623</v>
      </c>
      <c r="I290" s="17">
        <f t="shared" si="65"/>
        <v>2.9870909264510737E-2</v>
      </c>
      <c r="J290" s="17">
        <f t="shared" si="65"/>
        <v>3.2064090596384175E-2</v>
      </c>
      <c r="K290" s="17">
        <f t="shared" si="65"/>
        <v>5.2944155523435364E-2</v>
      </c>
      <c r="L290" s="17">
        <f t="shared" si="65"/>
        <v>6.7418105145493804E-2</v>
      </c>
      <c r="M290" s="17">
        <f t="shared" si="65"/>
        <v>3.9947014361337234E-2</v>
      </c>
    </row>
    <row r="291" spans="6:13" x14ac:dyDescent="0.2">
      <c r="F291">
        <v>897</v>
      </c>
      <c r="G291">
        <f t="shared" si="58"/>
        <v>0.89700000000000002</v>
      </c>
      <c r="H291">
        <f t="shared" si="59"/>
        <v>624</v>
      </c>
      <c r="I291" s="17">
        <f t="shared" si="65"/>
        <v>2.9873799223892238E-2</v>
      </c>
      <c r="J291" s="17">
        <f t="shared" si="65"/>
        <v>3.2070398724789687E-2</v>
      </c>
      <c r="K291" s="17">
        <f t="shared" si="65"/>
        <v>5.2958477779097714E-2</v>
      </c>
      <c r="L291" s="17">
        <f t="shared" si="65"/>
        <v>6.7462593732937323E-2</v>
      </c>
      <c r="M291" s="17">
        <f t="shared" si="65"/>
        <v>3.9959688528965469E-2</v>
      </c>
    </row>
    <row r="292" spans="6:13" x14ac:dyDescent="0.2">
      <c r="F292">
        <v>898</v>
      </c>
      <c r="G292">
        <f t="shared" si="58"/>
        <v>0.89800000000000002</v>
      </c>
      <c r="H292">
        <f t="shared" si="59"/>
        <v>625</v>
      </c>
      <c r="I292" s="17">
        <f t="shared" si="65"/>
        <v>2.9876695655794663E-2</v>
      </c>
      <c r="J292" s="17">
        <f t="shared" si="65"/>
        <v>3.2076701918067677E-2</v>
      </c>
      <c r="K292" s="17">
        <f t="shared" si="65"/>
        <v>5.2972774163888556E-2</v>
      </c>
      <c r="L292" s="17">
        <f t="shared" si="65"/>
        <v>6.7507035119653461E-2</v>
      </c>
      <c r="M292" s="17">
        <f t="shared" si="65"/>
        <v>3.9972363404150231E-2</v>
      </c>
    </row>
    <row r="293" spans="6:13" x14ac:dyDescent="0.2">
      <c r="F293">
        <v>899</v>
      </c>
      <c r="G293">
        <f t="shared" si="58"/>
        <v>0.89900000000000002</v>
      </c>
      <c r="H293">
        <f t="shared" si="59"/>
        <v>626</v>
      </c>
      <c r="I293" s="17">
        <f t="shared" si="65"/>
        <v>2.9879598550115523E-2</v>
      </c>
      <c r="J293" s="17">
        <f t="shared" si="65"/>
        <v>3.2083000162692513E-2</v>
      </c>
      <c r="K293" s="17">
        <f t="shared" si="65"/>
        <v>5.298704473112955E-2</v>
      </c>
      <c r="L293" s="17">
        <f t="shared" si="65"/>
        <v>6.7551429312852809E-2</v>
      </c>
      <c r="M293" s="17">
        <f t="shared" si="65"/>
        <v>3.9985038968299344E-2</v>
      </c>
    </row>
    <row r="294" spans="6:13" x14ac:dyDescent="0.2">
      <c r="F294">
        <v>900</v>
      </c>
      <c r="G294">
        <f t="shared" si="58"/>
        <v>0.9</v>
      </c>
      <c r="H294">
        <f t="shared" si="59"/>
        <v>627</v>
      </c>
      <c r="I294" s="17">
        <f t="shared" si="65"/>
        <v>2.9882507896716044E-2</v>
      </c>
      <c r="J294" s="17">
        <f t="shared" si="65"/>
        <v>3.2089293445259258E-2</v>
      </c>
      <c r="K294" s="17">
        <f t="shared" si="65"/>
        <v>5.3001289534111116E-2</v>
      </c>
      <c r="L294" s="17">
        <f t="shared" si="65"/>
        <v>6.7595776319901227E-2</v>
      </c>
      <c r="M294" s="17">
        <f t="shared" si="65"/>
        <v>3.9997715202839498E-2</v>
      </c>
    </row>
    <row r="295" spans="6:13" x14ac:dyDescent="0.2">
      <c r="F295">
        <v>901</v>
      </c>
      <c r="G295">
        <f t="shared" ref="G295:G358" si="66">F295/1000</f>
        <v>0.90100000000000002</v>
      </c>
      <c r="H295">
        <f t="shared" si="59"/>
        <v>628</v>
      </c>
      <c r="I295" s="17">
        <f t="shared" si="65"/>
        <v>2.9885423685421419E-2</v>
      </c>
      <c r="J295" s="17">
        <f t="shared" si="65"/>
        <v>3.2095581752482942E-2</v>
      </c>
      <c r="K295" s="17">
        <f t="shared" si="65"/>
        <v>5.3015508626092583E-2</v>
      </c>
      <c r="L295" s="17">
        <f t="shared" si="65"/>
        <v>6.7640076148318878E-2</v>
      </c>
      <c r="M295" s="17">
        <f t="shared" si="65"/>
        <v>4.001039208921605E-2</v>
      </c>
    </row>
    <row r="296" spans="6:13" x14ac:dyDescent="0.2">
      <c r="F296">
        <v>902</v>
      </c>
      <c r="G296">
        <f t="shared" si="66"/>
        <v>0.90200000000000002</v>
      </c>
      <c r="H296">
        <f t="shared" si="59"/>
        <v>629</v>
      </c>
      <c r="I296" s="17">
        <f t="shared" si="65"/>
        <v>2.9888345906021012E-2</v>
      </c>
      <c r="J296" s="17">
        <f t="shared" si="65"/>
        <v>3.2101865071197694E-2</v>
      </c>
      <c r="K296" s="17">
        <f t="shared" si="65"/>
        <v>5.3029702060302442E-2</v>
      </c>
      <c r="L296" s="17">
        <f t="shared" si="65"/>
        <v>6.7684328805779098E-2</v>
      </c>
      <c r="M296" s="17">
        <f t="shared" si="65"/>
        <v>4.0023069608892854E-2</v>
      </c>
    </row>
    <row r="297" spans="6:13" x14ac:dyDescent="0.2">
      <c r="F297">
        <v>903</v>
      </c>
      <c r="G297">
        <f t="shared" si="66"/>
        <v>0.90300000000000002</v>
      </c>
      <c r="H297">
        <f t="shared" ref="H297:H360" si="67">F297-273</f>
        <v>630</v>
      </c>
      <c r="I297" s="17">
        <f t="shared" ref="I297:M306" si="68">(I$159+I$160*$G297+I$161*($G297^2)+I$162*($G297^3)+I$163/($G297^2))/1000</f>
        <v>2.9891274548268645E-2</v>
      </c>
      <c r="J297" s="17">
        <f t="shared" si="68"/>
        <v>3.2108143388356006E-2</v>
      </c>
      <c r="K297" s="17">
        <f t="shared" si="68"/>
        <v>5.3043869889938526E-2</v>
      </c>
      <c r="L297" s="17">
        <f t="shared" si="68"/>
        <v>6.7728534300107418E-2</v>
      </c>
      <c r="M297" s="17">
        <f t="shared" si="68"/>
        <v>4.0035747743352251E-2</v>
      </c>
    </row>
    <row r="298" spans="6:13" x14ac:dyDescent="0.2">
      <c r="F298">
        <v>904</v>
      </c>
      <c r="G298">
        <f t="shared" si="66"/>
        <v>0.90400000000000003</v>
      </c>
      <c r="H298">
        <f t="shared" si="67"/>
        <v>631</v>
      </c>
      <c r="I298" s="17">
        <f t="shared" si="68"/>
        <v>2.9894209601882788E-2</v>
      </c>
      <c r="J298" s="17">
        <f t="shared" si="68"/>
        <v>3.2114416691027943E-2</v>
      </c>
      <c r="K298" s="17">
        <f t="shared" si="68"/>
        <v>5.3058012168168245E-2</v>
      </c>
      <c r="L298" s="17">
        <f t="shared" si="68"/>
        <v>6.7772692639280568E-2</v>
      </c>
      <c r="M298" s="17">
        <f t="shared" si="68"/>
        <v>4.0048426474094831E-2</v>
      </c>
    </row>
    <row r="299" spans="6:13" x14ac:dyDescent="0.2">
      <c r="F299">
        <v>905</v>
      </c>
      <c r="G299">
        <f t="shared" si="66"/>
        <v>0.90500000000000003</v>
      </c>
      <c r="H299">
        <f t="shared" si="67"/>
        <v>632</v>
      </c>
      <c r="I299" s="17">
        <f t="shared" si="68"/>
        <v>2.9897151056546858E-2</v>
      </c>
      <c r="J299" s="17">
        <f t="shared" si="68"/>
        <v>3.2120684966400304E-2</v>
      </c>
      <c r="K299" s="17">
        <f t="shared" si="68"/>
        <v>5.3072128948128766E-2</v>
      </c>
      <c r="L299" s="17">
        <f t="shared" si="68"/>
        <v>6.7816803831425521E-2</v>
      </c>
      <c r="M299" s="17">
        <f t="shared" si="68"/>
        <v>4.0061105782639418E-2</v>
      </c>
    </row>
    <row r="300" spans="6:13" x14ac:dyDescent="0.2">
      <c r="F300">
        <v>906</v>
      </c>
      <c r="G300">
        <f t="shared" si="66"/>
        <v>0.90600000000000003</v>
      </c>
      <c r="H300">
        <f t="shared" si="67"/>
        <v>633</v>
      </c>
      <c r="I300" s="17">
        <f t="shared" si="68"/>
        <v>2.9900098901909353E-2</v>
      </c>
      <c r="J300" s="17">
        <f t="shared" si="68"/>
        <v>3.2126948201775946E-2</v>
      </c>
      <c r="K300" s="17">
        <f t="shared" si="68"/>
        <v>5.3086220282927185E-2</v>
      </c>
      <c r="L300" s="17">
        <f t="shared" si="68"/>
        <v>6.786086788481839E-2</v>
      </c>
      <c r="M300" s="17">
        <f t="shared" si="68"/>
        <v>4.0073785650522845E-2</v>
      </c>
    </row>
    <row r="301" spans="6:13" x14ac:dyDescent="0.2">
      <c r="F301">
        <v>907</v>
      </c>
      <c r="G301">
        <f t="shared" si="66"/>
        <v>0.90700000000000003</v>
      </c>
      <c r="H301">
        <f t="shared" si="67"/>
        <v>634</v>
      </c>
      <c r="I301" s="17">
        <f t="shared" si="68"/>
        <v>2.9903053127584182E-2</v>
      </c>
      <c r="J301" s="17">
        <f t="shared" si="68"/>
        <v>3.2133206384572913E-2</v>
      </c>
      <c r="K301" s="17">
        <f t="shared" si="68"/>
        <v>5.3100286225640753E-2</v>
      </c>
      <c r="L301" s="17">
        <f t="shared" si="68"/>
        <v>6.7904884807883537E-2</v>
      </c>
      <c r="M301" s="17">
        <f t="shared" si="68"/>
        <v>4.0086466059299899E-2</v>
      </c>
    </row>
    <row r="302" spans="6:13" x14ac:dyDescent="0.2">
      <c r="F302">
        <v>908</v>
      </c>
      <c r="G302">
        <f t="shared" si="66"/>
        <v>0.90800000000000003</v>
      </c>
      <c r="H302">
        <f t="shared" si="67"/>
        <v>635</v>
      </c>
      <c r="I302" s="17">
        <f t="shared" si="68"/>
        <v>2.9906013723150847E-2</v>
      </c>
      <c r="J302" s="17">
        <f t="shared" si="68"/>
        <v>3.2139459502323782E-2</v>
      </c>
      <c r="K302" s="17">
        <f t="shared" si="68"/>
        <v>5.3114326829317104E-2</v>
      </c>
      <c r="L302" s="17">
        <f t="shared" si="68"/>
        <v>6.7948854609192547E-2</v>
      </c>
      <c r="M302" s="17">
        <f t="shared" si="68"/>
        <v>4.0099146990543226E-2</v>
      </c>
    </row>
    <row r="303" spans="6:13" x14ac:dyDescent="0.2">
      <c r="F303">
        <v>909</v>
      </c>
      <c r="G303">
        <f t="shared" si="66"/>
        <v>0.90900000000000003</v>
      </c>
      <c r="H303">
        <f t="shared" si="67"/>
        <v>636</v>
      </c>
      <c r="I303" s="17">
        <f t="shared" si="68"/>
        <v>2.9908980678154631E-2</v>
      </c>
      <c r="J303" s="17">
        <f t="shared" si="68"/>
        <v>3.2145707542674803E-2</v>
      </c>
      <c r="K303" s="17">
        <f t="shared" si="68"/>
        <v>5.3128342146974414E-2</v>
      </c>
      <c r="L303" s="17">
        <f t="shared" si="68"/>
        <v>6.7992777297463267E-2</v>
      </c>
      <c r="M303" s="17">
        <f t="shared" si="68"/>
        <v>4.011182842584312E-2</v>
      </c>
    </row>
    <row r="304" spans="6:13" x14ac:dyDescent="0.2">
      <c r="F304">
        <v>910</v>
      </c>
      <c r="G304">
        <f t="shared" si="66"/>
        <v>0.91</v>
      </c>
      <c r="H304">
        <f t="shared" si="67"/>
        <v>637</v>
      </c>
      <c r="I304" s="17">
        <f t="shared" si="68"/>
        <v>2.9911953982106922E-2</v>
      </c>
      <c r="J304" s="17">
        <f t="shared" si="68"/>
        <v>3.2151950493385227E-2</v>
      </c>
      <c r="K304" s="17">
        <f t="shared" si="68"/>
        <v>5.3142332231601572E-2</v>
      </c>
      <c r="L304" s="17">
        <f t="shared" si="68"/>
        <v>6.8036652881558815E-2</v>
      </c>
      <c r="M304" s="17">
        <f t="shared" si="68"/>
        <v>4.0124510346807515E-2</v>
      </c>
    </row>
    <row r="305" spans="6:13" x14ac:dyDescent="0.2">
      <c r="F305">
        <v>911</v>
      </c>
      <c r="G305">
        <f t="shared" si="66"/>
        <v>0.91100000000000003</v>
      </c>
      <c r="H305">
        <f t="shared" si="67"/>
        <v>638</v>
      </c>
      <c r="I305" s="17">
        <f t="shared" si="68"/>
        <v>2.9914933624485354E-2</v>
      </c>
      <c r="J305" s="17">
        <f t="shared" si="68"/>
        <v>3.2158188342326532E-2</v>
      </c>
      <c r="K305" s="17">
        <f t="shared" si="68"/>
        <v>5.3156297136158437E-2</v>
      </c>
      <c r="L305" s="17">
        <f t="shared" si="68"/>
        <v>6.8080481370486695E-2</v>
      </c>
      <c r="M305" s="17">
        <f t="shared" si="68"/>
        <v>4.013719273506177E-2</v>
      </c>
    </row>
    <row r="306" spans="6:13" x14ac:dyDescent="0.2">
      <c r="F306">
        <v>912</v>
      </c>
      <c r="G306">
        <f t="shared" si="66"/>
        <v>0.91200000000000003</v>
      </c>
      <c r="H306">
        <f t="shared" si="67"/>
        <v>639</v>
      </c>
      <c r="I306" s="17">
        <f t="shared" si="68"/>
        <v>2.9917919594734037E-2</v>
      </c>
      <c r="J306" s="17">
        <f t="shared" si="68"/>
        <v>3.2164421077481666E-2</v>
      </c>
      <c r="K306" s="17">
        <f t="shared" si="68"/>
        <v>5.3170236913575954E-2</v>
      </c>
      <c r="L306" s="17">
        <f t="shared" si="68"/>
        <v>6.8124262773397767E-2</v>
      </c>
      <c r="M306" s="17">
        <f t="shared" si="68"/>
        <v>4.0149875572248646E-2</v>
      </c>
    </row>
    <row r="307" spans="6:13" x14ac:dyDescent="0.2">
      <c r="F307">
        <v>913</v>
      </c>
      <c r="G307">
        <f t="shared" si="66"/>
        <v>0.91300000000000003</v>
      </c>
      <c r="H307">
        <f t="shared" si="67"/>
        <v>640</v>
      </c>
      <c r="I307" s="17">
        <f t="shared" ref="I307:M316" si="69">(I$159+I$160*$G307+I$161*($G307^2)+I$162*($G307^3)+I$163/($G307^2))/1000</f>
        <v>2.9920911882263833E-2</v>
      </c>
      <c r="J307" s="17">
        <f t="shared" si="69"/>
        <v>3.2170648686944373E-2</v>
      </c>
      <c r="K307" s="17">
        <f t="shared" si="69"/>
        <v>5.318415161675643E-2</v>
      </c>
      <c r="L307" s="17">
        <f t="shared" si="69"/>
        <v>6.816799709958539E-2</v>
      </c>
      <c r="M307" s="17">
        <f t="shared" si="69"/>
        <v>4.0162558840028131E-2</v>
      </c>
    </row>
    <row r="308" spans="6:13" x14ac:dyDescent="0.2">
      <c r="F308">
        <v>914</v>
      </c>
      <c r="G308">
        <f t="shared" si="66"/>
        <v>0.91400000000000003</v>
      </c>
      <c r="H308">
        <f t="shared" si="67"/>
        <v>641</v>
      </c>
      <c r="I308" s="17">
        <f t="shared" si="69"/>
        <v>2.9923910476452504E-2</v>
      </c>
      <c r="J308" s="17">
        <f t="shared" si="69"/>
        <v>3.2176871158918395E-2</v>
      </c>
      <c r="K308" s="17">
        <f t="shared" si="69"/>
        <v>5.3198041298573667E-2</v>
      </c>
      <c r="L308" s="17">
        <f t="shared" si="69"/>
        <v>6.8211684358484403E-2</v>
      </c>
      <c r="M308" s="17">
        <f t="shared" si="69"/>
        <v>4.0175242520077335E-2</v>
      </c>
    </row>
    <row r="309" spans="6:13" x14ac:dyDescent="0.2">
      <c r="F309">
        <v>915</v>
      </c>
      <c r="G309">
        <f t="shared" si="66"/>
        <v>0.91500000000000004</v>
      </c>
      <c r="H309">
        <f t="shared" si="67"/>
        <v>642</v>
      </c>
      <c r="I309" s="17">
        <f t="shared" si="69"/>
        <v>2.9926915366644991E-2</v>
      </c>
      <c r="J309" s="17">
        <f t="shared" si="69"/>
        <v>3.2183088481716818E-2</v>
      </c>
      <c r="K309" s="17">
        <f t="shared" si="69"/>
        <v>5.3211906011873117E-2</v>
      </c>
      <c r="L309" s="17">
        <f t="shared" si="69"/>
        <v>6.8255324559670247E-2</v>
      </c>
      <c r="M309" s="17">
        <f t="shared" si="69"/>
        <v>4.0187926594090359E-2</v>
      </c>
    </row>
    <row r="310" spans="6:13" x14ac:dyDescent="0.2">
      <c r="F310">
        <v>916</v>
      </c>
      <c r="G310">
        <f t="shared" si="66"/>
        <v>0.91600000000000004</v>
      </c>
      <c r="H310">
        <f t="shared" si="67"/>
        <v>643</v>
      </c>
      <c r="I310" s="17">
        <f t="shared" si="69"/>
        <v>2.9929926542153564E-2</v>
      </c>
      <c r="J310" s="17">
        <f t="shared" si="69"/>
        <v>3.2189300643761291E-2</v>
      </c>
      <c r="K310" s="17">
        <f t="shared" si="69"/>
        <v>5.3225745809472161E-2</v>
      </c>
      <c r="L310" s="17">
        <f t="shared" si="69"/>
        <v>6.8298917712858009E-2</v>
      </c>
      <c r="M310" s="17">
        <f t="shared" si="69"/>
        <v>4.0200611043778284E-2</v>
      </c>
    </row>
    <row r="311" spans="6:13" x14ac:dyDescent="0.2">
      <c r="F311">
        <v>917</v>
      </c>
      <c r="G311">
        <f t="shared" si="66"/>
        <v>0.91700000000000004</v>
      </c>
      <c r="H311">
        <f t="shared" si="67"/>
        <v>644</v>
      </c>
      <c r="I311" s="17">
        <f t="shared" si="69"/>
        <v>2.9932943992258088E-2</v>
      </c>
      <c r="J311" s="17">
        <f t="shared" si="69"/>
        <v>3.2195507633581366E-2</v>
      </c>
      <c r="K311" s="17">
        <f t="shared" si="69"/>
        <v>5.3239560744160183E-2</v>
      </c>
      <c r="L311" s="17">
        <f t="shared" si="69"/>
        <v>6.8342463827901545E-2</v>
      </c>
      <c r="M311" s="17">
        <f t="shared" si="69"/>
        <v>4.0213295850868913E-2</v>
      </c>
    </row>
    <row r="312" spans="6:13" x14ac:dyDescent="0.2">
      <c r="F312">
        <v>918</v>
      </c>
      <c r="G312">
        <f t="shared" si="66"/>
        <v>0.91800000000000004</v>
      </c>
      <c r="H312">
        <f t="shared" si="67"/>
        <v>645</v>
      </c>
      <c r="I312" s="17">
        <f t="shared" si="69"/>
        <v>2.9935967706206233E-2</v>
      </c>
      <c r="J312" s="17">
        <f t="shared" si="69"/>
        <v>3.2201709439813792E-2</v>
      </c>
      <c r="K312" s="17">
        <f t="shared" si="69"/>
        <v>5.3253350868698861E-2</v>
      </c>
      <c r="L312" s="17">
        <f t="shared" si="69"/>
        <v>6.838596291479257E-2</v>
      </c>
      <c r="M312" s="17">
        <f t="shared" si="69"/>
        <v>4.0225980997106794E-2</v>
      </c>
    </row>
    <row r="313" spans="6:13" x14ac:dyDescent="0.2">
      <c r="F313">
        <v>919</v>
      </c>
      <c r="G313">
        <f t="shared" si="66"/>
        <v>0.91900000000000004</v>
      </c>
      <c r="H313">
        <f t="shared" si="67"/>
        <v>646</v>
      </c>
      <c r="I313" s="17">
        <f t="shared" si="69"/>
        <v>2.9938997673213643E-2</v>
      </c>
      <c r="J313" s="17">
        <f t="shared" si="69"/>
        <v>3.2207906051201746E-2</v>
      </c>
      <c r="K313" s="17">
        <f t="shared" si="69"/>
        <v>5.3267116235822261E-2</v>
      </c>
      <c r="L313" s="17">
        <f t="shared" si="69"/>
        <v>6.8429414983659786E-2</v>
      </c>
      <c r="M313" s="17">
        <f t="shared" si="69"/>
        <v>4.0238666464253017E-2</v>
      </c>
    </row>
    <row r="314" spans="6:13" x14ac:dyDescent="0.2">
      <c r="F314">
        <v>920</v>
      </c>
      <c r="G314">
        <f t="shared" si="66"/>
        <v>0.92</v>
      </c>
      <c r="H314">
        <f t="shared" si="67"/>
        <v>647</v>
      </c>
      <c r="I314" s="17">
        <f t="shared" si="69"/>
        <v>2.9942033882464181E-2</v>
      </c>
      <c r="J314" s="17">
        <f t="shared" si="69"/>
        <v>3.2214097456594266E-2</v>
      </c>
      <c r="K314" s="17">
        <f t="shared" si="69"/>
        <v>5.328085689823709E-2</v>
      </c>
      <c r="L314" s="17">
        <f t="shared" si="69"/>
        <v>6.8472820044767818E-2</v>
      </c>
      <c r="M314" s="17">
        <f t="shared" si="69"/>
        <v>4.0251352234085137E-2</v>
      </c>
    </row>
    <row r="315" spans="6:13" x14ac:dyDescent="0.2">
      <c r="F315">
        <v>921</v>
      </c>
      <c r="G315">
        <f t="shared" si="66"/>
        <v>0.92100000000000004</v>
      </c>
      <c r="H315">
        <f t="shared" si="67"/>
        <v>648</v>
      </c>
      <c r="I315" s="17">
        <f t="shared" si="69"/>
        <v>2.994507632311013E-2</v>
      </c>
      <c r="J315" s="17">
        <f t="shared" si="69"/>
        <v>3.2220283644945433E-2</v>
      </c>
      <c r="K315" s="17">
        <f t="shared" si="69"/>
        <v>5.3294572908622807E-2</v>
      </c>
      <c r="L315" s="17">
        <f t="shared" si="69"/>
        <v>6.8516178108516623E-2</v>
      </c>
      <c r="M315" s="17">
        <f t="shared" si="69"/>
        <v>4.0264038288397107E-2</v>
      </c>
    </row>
    <row r="316" spans="6:13" x14ac:dyDescent="0.2">
      <c r="F316">
        <v>922</v>
      </c>
      <c r="G316">
        <f t="shared" si="66"/>
        <v>0.92200000000000004</v>
      </c>
      <c r="H316">
        <f t="shared" si="67"/>
        <v>649</v>
      </c>
      <c r="I316" s="17">
        <f t="shared" si="69"/>
        <v>2.9948124984272375E-2</v>
      </c>
      <c r="J316" s="17">
        <f t="shared" si="69"/>
        <v>3.2226464605313754E-2</v>
      </c>
      <c r="K316" s="17">
        <f t="shared" si="69"/>
        <v>5.3308264319631815E-2</v>
      </c>
      <c r="L316" s="17">
        <f t="shared" si="69"/>
        <v>6.8559489185440373E-2</v>
      </c>
      <c r="M316" s="17">
        <f t="shared" si="69"/>
        <v>4.0276724608999094E-2</v>
      </c>
    </row>
    <row r="317" spans="6:13" x14ac:dyDescent="0.2">
      <c r="F317">
        <v>923</v>
      </c>
      <c r="G317">
        <f t="shared" si="66"/>
        <v>0.92300000000000004</v>
      </c>
      <c r="H317">
        <f t="shared" si="67"/>
        <v>650</v>
      </c>
      <c r="I317" s="17">
        <f t="shared" ref="I317:M326" si="70">(I$159+I$160*$G317+I$161*($G317^2)+I$162*($G317^3)+I$163/($G317^2))/1000</f>
        <v>2.9951179855040658E-2</v>
      </c>
      <c r="J317" s="17">
        <f t="shared" si="70"/>
        <v>3.223264032686151E-2</v>
      </c>
      <c r="K317" s="17">
        <f t="shared" si="70"/>
        <v>5.3321931183889698E-2</v>
      </c>
      <c r="L317" s="17">
        <f t="shared" si="70"/>
        <v>6.860275328620663E-2</v>
      </c>
      <c r="M317" s="17">
        <f t="shared" si="70"/>
        <v>4.0289411177717442E-2</v>
      </c>
    </row>
    <row r="318" spans="6:13" x14ac:dyDescent="0.2">
      <c r="F318">
        <v>924</v>
      </c>
      <c r="G318">
        <f t="shared" si="66"/>
        <v>0.92400000000000004</v>
      </c>
      <c r="H318">
        <f t="shared" si="67"/>
        <v>651</v>
      </c>
      <c r="I318" s="17">
        <f t="shared" si="70"/>
        <v>2.9954240924473702E-2</v>
      </c>
      <c r="J318" s="17">
        <f t="shared" si="70"/>
        <v>3.2238810798853962E-2</v>
      </c>
      <c r="K318" s="17">
        <f t="shared" si="70"/>
        <v>5.3335573553995291E-2</v>
      </c>
      <c r="L318" s="17">
        <f t="shared" si="70"/>
        <v>6.8645970421615576E-2</v>
      </c>
      <c r="M318" s="17">
        <f t="shared" si="70"/>
        <v>4.0302097976394544E-2</v>
      </c>
    </row>
    <row r="319" spans="6:13" x14ac:dyDescent="0.2">
      <c r="F319">
        <v>925</v>
      </c>
      <c r="G319">
        <f t="shared" si="66"/>
        <v>0.92500000000000004</v>
      </c>
      <c r="H319">
        <f t="shared" si="67"/>
        <v>652</v>
      </c>
      <c r="I319" s="17">
        <f t="shared" si="70"/>
        <v>2.9957308181599505E-2</v>
      </c>
      <c r="J319" s="17">
        <f t="shared" si="70"/>
        <v>3.2244976010658871E-2</v>
      </c>
      <c r="K319" s="17">
        <f t="shared" si="70"/>
        <v>5.3349191482520986E-2</v>
      </c>
      <c r="L319" s="17">
        <f t="shared" si="70"/>
        <v>6.8689140602599022E-2</v>
      </c>
      <c r="M319" s="17">
        <f t="shared" si="70"/>
        <v>4.0314784986888695E-2</v>
      </c>
    </row>
    <row r="320" spans="6:13" x14ac:dyDescent="0.2">
      <c r="F320">
        <v>926</v>
      </c>
      <c r="G320">
        <f t="shared" si="66"/>
        <v>0.92600000000000005</v>
      </c>
      <c r="H320">
        <f t="shared" si="67"/>
        <v>653</v>
      </c>
      <c r="I320" s="17">
        <f t="shared" si="70"/>
        <v>2.9960381615415456E-2</v>
      </c>
      <c r="J320" s="17">
        <f t="shared" si="70"/>
        <v>3.2251135951745662E-2</v>
      </c>
      <c r="K320" s="17">
        <f t="shared" si="70"/>
        <v>5.3362785022012756E-2</v>
      </c>
      <c r="L320" s="17">
        <f t="shared" si="70"/>
        <v>6.8732263840219701E-2</v>
      </c>
      <c r="M320" s="17">
        <f t="shared" si="70"/>
        <v>4.0327472191074083E-2</v>
      </c>
    </row>
    <row r="321" spans="6:13" x14ac:dyDescent="0.2">
      <c r="F321">
        <v>927</v>
      </c>
      <c r="G321">
        <f t="shared" si="66"/>
        <v>0.92700000000000005</v>
      </c>
      <c r="H321">
        <f t="shared" si="67"/>
        <v>654</v>
      </c>
      <c r="I321" s="17">
        <f t="shared" si="70"/>
        <v>2.9963461214888597E-2</v>
      </c>
      <c r="J321" s="17">
        <f t="shared" si="70"/>
        <v>3.2257290611684836E-2</v>
      </c>
      <c r="K321" s="17">
        <f t="shared" si="70"/>
        <v>5.3376354224990444E-2</v>
      </c>
      <c r="L321" s="17">
        <f t="shared" si="70"/>
        <v>6.877534014567023E-2</v>
      </c>
      <c r="M321" s="17">
        <f t="shared" si="70"/>
        <v>4.0340159570840591E-2</v>
      </c>
    </row>
    <row r="322" spans="6:13" x14ac:dyDescent="0.2">
      <c r="F322">
        <v>928</v>
      </c>
      <c r="G322">
        <f t="shared" si="66"/>
        <v>0.92800000000000005</v>
      </c>
      <c r="H322">
        <f t="shared" si="67"/>
        <v>655</v>
      </c>
      <c r="I322" s="17">
        <f t="shared" si="70"/>
        <v>2.9966546968955766E-2</v>
      </c>
      <c r="J322" s="17">
        <f t="shared" si="70"/>
        <v>3.2263439980147364E-2</v>
      </c>
      <c r="K322" s="17">
        <f t="shared" si="70"/>
        <v>5.3389899143947837E-2</v>
      </c>
      <c r="L322" s="17">
        <f t="shared" si="70"/>
        <v>6.8818369530272525E-2</v>
      </c>
      <c r="M322" s="17">
        <f t="shared" si="70"/>
        <v>4.0352847108093746E-2</v>
      </c>
    </row>
    <row r="323" spans="6:13" x14ac:dyDescent="0.2">
      <c r="F323">
        <v>929</v>
      </c>
      <c r="G323">
        <f t="shared" si="66"/>
        <v>0.92900000000000005</v>
      </c>
      <c r="H323">
        <f t="shared" si="67"/>
        <v>656</v>
      </c>
      <c r="I323" s="17">
        <f t="shared" si="70"/>
        <v>2.9969638866523842E-2</v>
      </c>
      <c r="J323" s="17">
        <f t="shared" si="70"/>
        <v>3.2269584046903908E-2</v>
      </c>
      <c r="K323" s="17">
        <f t="shared" si="70"/>
        <v>5.3403419831352952E-2</v>
      </c>
      <c r="L323" s="17">
        <f t="shared" si="70"/>
        <v>6.8861352005476675E-2</v>
      </c>
      <c r="M323" s="17">
        <f t="shared" si="70"/>
        <v>4.0365534784754631E-2</v>
      </c>
    </row>
    <row r="324" spans="6:13" x14ac:dyDescent="0.2">
      <c r="F324">
        <v>930</v>
      </c>
      <c r="G324">
        <f t="shared" si="66"/>
        <v>0.93</v>
      </c>
      <c r="H324">
        <f t="shared" si="67"/>
        <v>657</v>
      </c>
      <c r="I324" s="17">
        <f t="shared" si="70"/>
        <v>2.997273689646987E-2</v>
      </c>
      <c r="J324" s="17">
        <f t="shared" si="70"/>
        <v>3.227572280182435E-2</v>
      </c>
      <c r="K324" s="17">
        <f t="shared" si="70"/>
        <v>5.3416916339648075E-2</v>
      </c>
      <c r="L324" s="17">
        <f t="shared" si="70"/>
        <v>6.8904287582860352E-2</v>
      </c>
      <c r="M324" s="17">
        <f t="shared" si="70"/>
        <v>4.0378222582759721E-2</v>
      </c>
    </row>
    <row r="325" spans="6:13" x14ac:dyDescent="0.2">
      <c r="F325">
        <v>931</v>
      </c>
      <c r="G325">
        <f t="shared" si="66"/>
        <v>0.93100000000000005</v>
      </c>
      <c r="H325">
        <f t="shared" si="67"/>
        <v>658</v>
      </c>
      <c r="I325" s="17">
        <f t="shared" si="70"/>
        <v>2.9975841047641349E-2</v>
      </c>
      <c r="J325" s="17">
        <f t="shared" si="70"/>
        <v>3.2281856234876997E-2</v>
      </c>
      <c r="K325" s="17">
        <f t="shared" si="70"/>
        <v>5.3430388721250013E-2</v>
      </c>
      <c r="L325" s="17">
        <f t="shared" si="70"/>
        <v>6.8947176274127858E-2</v>
      </c>
      <c r="M325" s="17">
        <f t="shared" si="70"/>
        <v>4.0390910484060863E-2</v>
      </c>
    </row>
    <row r="326" spans="6:13" x14ac:dyDescent="0.2">
      <c r="F326">
        <v>932</v>
      </c>
      <c r="G326">
        <f t="shared" si="66"/>
        <v>0.93200000000000005</v>
      </c>
      <c r="H326">
        <f t="shared" si="67"/>
        <v>659</v>
      </c>
      <c r="I326" s="17">
        <f t="shared" si="70"/>
        <v>2.9978951308856337E-2</v>
      </c>
      <c r="J326" s="17">
        <f t="shared" si="70"/>
        <v>3.2287984336128048E-2</v>
      </c>
      <c r="K326" s="17">
        <f t="shared" si="70"/>
        <v>5.3443837028550226E-2</v>
      </c>
      <c r="L326" s="17">
        <f t="shared" si="70"/>
        <v>6.899001809110944E-2</v>
      </c>
      <c r="M326" s="17">
        <f t="shared" si="70"/>
        <v>4.0403598470625114E-2</v>
      </c>
    </row>
    <row r="327" spans="6:13" x14ac:dyDescent="0.2">
      <c r="F327">
        <v>933</v>
      </c>
      <c r="G327">
        <f t="shared" si="66"/>
        <v>0.93300000000000005</v>
      </c>
      <c r="H327">
        <f t="shared" si="67"/>
        <v>660</v>
      </c>
      <c r="I327" s="17">
        <f t="shared" ref="I327:M336" si="71">(I$159+I$160*$G327+I$161*($G327^2)+I$162*($G327^3)+I$163/($G327^2))/1000</f>
        <v>2.9982067668903673E-2</v>
      </c>
      <c r="J327" s="17">
        <f t="shared" si="71"/>
        <v>3.2294107095740911E-2</v>
      </c>
      <c r="K327" s="17">
        <f t="shared" si="71"/>
        <v>5.3457261313914983E-2</v>
      </c>
      <c r="L327" s="17">
        <f t="shared" si="71"/>
        <v>6.9032813045760241E-2</v>
      </c>
      <c r="M327" s="17">
        <f t="shared" si="71"/>
        <v>4.0416286524434658E-2</v>
      </c>
    </row>
    <row r="328" spans="6:13" x14ac:dyDescent="0.2">
      <c r="F328">
        <v>934</v>
      </c>
      <c r="G328">
        <f t="shared" si="66"/>
        <v>0.93400000000000005</v>
      </c>
      <c r="H328">
        <f t="shared" si="67"/>
        <v>661</v>
      </c>
      <c r="I328" s="17">
        <f t="shared" si="71"/>
        <v>2.9985190116543183E-2</v>
      </c>
      <c r="J328" s="17">
        <f t="shared" si="71"/>
        <v>3.2300224503975607E-2</v>
      </c>
      <c r="K328" s="17">
        <f t="shared" si="71"/>
        <v>5.3470661629685536E-2</v>
      </c>
      <c r="L328" s="17">
        <f t="shared" si="71"/>
        <v>6.9075561150159753E-2</v>
      </c>
      <c r="M328" s="17">
        <f t="shared" si="71"/>
        <v>4.0428974627486777E-2</v>
      </c>
    </row>
    <row r="329" spans="6:13" x14ac:dyDescent="0.2">
      <c r="F329">
        <v>935</v>
      </c>
      <c r="G329">
        <f t="shared" si="66"/>
        <v>0.93500000000000005</v>
      </c>
      <c r="H329">
        <f t="shared" si="67"/>
        <v>662</v>
      </c>
      <c r="I329" s="17">
        <f t="shared" si="71"/>
        <v>2.9988318640505836E-2</v>
      </c>
      <c r="J329" s="17">
        <f t="shared" si="71"/>
        <v>3.2306336551188149E-2</v>
      </c>
      <c r="K329" s="17">
        <f t="shared" si="71"/>
        <v>5.3484038028178311E-2</v>
      </c>
      <c r="L329" s="17">
        <f t="shared" si="71"/>
        <v>6.911826241651095E-2</v>
      </c>
      <c r="M329" s="17">
        <f t="shared" si="71"/>
        <v>4.0441662761793624E-2</v>
      </c>
    </row>
    <row r="330" spans="6:13" x14ac:dyDescent="0.2">
      <c r="F330">
        <v>936</v>
      </c>
      <c r="G330">
        <f t="shared" si="66"/>
        <v>0.93600000000000005</v>
      </c>
      <c r="H330">
        <f t="shared" si="67"/>
        <v>663</v>
      </c>
      <c r="I330" s="17">
        <f t="shared" si="71"/>
        <v>2.9991453229493925E-2</v>
      </c>
      <c r="J330" s="17">
        <f t="shared" si="71"/>
        <v>3.231244322782989E-2</v>
      </c>
      <c r="K330" s="17">
        <f t="shared" si="71"/>
        <v>5.3497390561684996E-2</v>
      </c>
      <c r="L330" s="17">
        <f t="shared" si="71"/>
        <v>6.9160916857139376E-2</v>
      </c>
      <c r="M330" s="17">
        <f t="shared" si="71"/>
        <v>4.0454350909382236E-2</v>
      </c>
    </row>
    <row r="331" spans="6:13" x14ac:dyDescent="0.2">
      <c r="F331">
        <v>937</v>
      </c>
      <c r="G331">
        <f t="shared" si="66"/>
        <v>0.93700000000000006</v>
      </c>
      <c r="H331">
        <f t="shared" si="67"/>
        <v>664</v>
      </c>
      <c r="I331" s="17">
        <f t="shared" si="71"/>
        <v>2.9994593872181275E-2</v>
      </c>
      <c r="J331" s="17">
        <f t="shared" si="71"/>
        <v>3.2318544524446977E-2</v>
      </c>
      <c r="K331" s="17">
        <f t="shared" si="71"/>
        <v>5.3510719282472745E-2</v>
      </c>
      <c r="L331" s="17">
        <f t="shared" si="71"/>
        <v>6.9203524484492462E-2</v>
      </c>
      <c r="M331" s="17">
        <f t="shared" si="71"/>
        <v>4.0467039052294401E-2</v>
      </c>
    </row>
    <row r="332" spans="6:13" x14ac:dyDescent="0.2">
      <c r="F332">
        <v>938</v>
      </c>
      <c r="G332">
        <f t="shared" si="66"/>
        <v>0.93799999999999994</v>
      </c>
      <c r="H332">
        <f t="shared" si="67"/>
        <v>665</v>
      </c>
      <c r="I332" s="17">
        <f t="shared" si="71"/>
        <v>2.9997740557213451E-2</v>
      </c>
      <c r="J332" s="17">
        <f t="shared" si="71"/>
        <v>3.2324640431679701E-2</v>
      </c>
      <c r="K332" s="17">
        <f t="shared" si="71"/>
        <v>5.3524024242784345E-2</v>
      </c>
      <c r="L332" s="17">
        <f t="shared" si="71"/>
        <v>6.9246085311138753E-2</v>
      </c>
      <c r="M332" s="17">
        <f t="shared" si="71"/>
        <v>4.0479727172586563E-2</v>
      </c>
    </row>
    <row r="333" spans="6:13" x14ac:dyDescent="0.2">
      <c r="F333">
        <v>939</v>
      </c>
      <c r="G333">
        <f t="shared" si="66"/>
        <v>0.93899999999999995</v>
      </c>
      <c r="H333">
        <f t="shared" si="67"/>
        <v>666</v>
      </c>
      <c r="I333" s="17">
        <f t="shared" si="71"/>
        <v>3.0000893273207836E-2</v>
      </c>
      <c r="J333" s="17">
        <f t="shared" si="71"/>
        <v>3.233073094026187E-2</v>
      </c>
      <c r="K333" s="17">
        <f t="shared" si="71"/>
        <v>5.353730549483833E-2</v>
      </c>
      <c r="L333" s="17">
        <f t="shared" si="71"/>
        <v>6.928859934976718E-2</v>
      </c>
      <c r="M333" s="17">
        <f t="shared" si="71"/>
        <v>4.049241525232973E-2</v>
      </c>
    </row>
    <row r="334" spans="6:13" x14ac:dyDescent="0.2">
      <c r="F334">
        <v>940</v>
      </c>
      <c r="G334">
        <f t="shared" si="66"/>
        <v>0.94</v>
      </c>
      <c r="H334">
        <f t="shared" si="67"/>
        <v>667</v>
      </c>
      <c r="I334" s="17">
        <f t="shared" si="71"/>
        <v>3.0004052008753945E-2</v>
      </c>
      <c r="J334" s="17">
        <f t="shared" si="71"/>
        <v>3.233681604102033E-2</v>
      </c>
      <c r="K334" s="17">
        <f t="shared" si="71"/>
        <v>5.3550563090829187E-2</v>
      </c>
      <c r="L334" s="17">
        <f t="shared" si="71"/>
        <v>6.933106661318611E-2</v>
      </c>
      <c r="M334" s="17">
        <f t="shared" si="71"/>
        <v>4.0505103273609372E-2</v>
      </c>
    </row>
    <row r="335" spans="6:13" x14ac:dyDescent="0.2">
      <c r="F335">
        <v>941</v>
      </c>
      <c r="G335">
        <f t="shared" si="66"/>
        <v>0.94099999999999995</v>
      </c>
      <c r="H335">
        <f t="shared" si="67"/>
        <v>668</v>
      </c>
      <c r="I335" s="17">
        <f t="shared" si="71"/>
        <v>3.0007216752413478E-2</v>
      </c>
      <c r="J335" s="17">
        <f t="shared" si="71"/>
        <v>3.2342895724874185E-2</v>
      </c>
      <c r="K335" s="17">
        <f t="shared" si="71"/>
        <v>5.3563797082927474E-2</v>
      </c>
      <c r="L335" s="17">
        <f t="shared" si="71"/>
        <v>6.9373487114322771E-2</v>
      </c>
      <c r="M335" s="17">
        <f t="shared" si="71"/>
        <v>4.0517791218525369E-2</v>
      </c>
    </row>
    <row r="336" spans="6:13" x14ac:dyDescent="0.2">
      <c r="F336">
        <v>942</v>
      </c>
      <c r="G336">
        <f t="shared" si="66"/>
        <v>0.94199999999999995</v>
      </c>
      <c r="H336">
        <f t="shared" si="67"/>
        <v>669</v>
      </c>
      <c r="I336" s="17">
        <f t="shared" si="71"/>
        <v>3.0010387492720596E-2</v>
      </c>
      <c r="J336" s="17">
        <f t="shared" si="71"/>
        <v>3.2348969982834382E-2</v>
      </c>
      <c r="K336" s="17">
        <f t="shared" si="71"/>
        <v>5.3577007523279964E-2</v>
      </c>
      <c r="L336" s="17">
        <f t="shared" si="71"/>
        <v>6.9415860866222368E-2</v>
      </c>
      <c r="M336" s="17">
        <f t="shared" si="71"/>
        <v>4.0530479069191841E-2</v>
      </c>
    </row>
    <row r="337" spans="6:13" x14ac:dyDescent="0.2">
      <c r="F337">
        <v>943</v>
      </c>
      <c r="G337">
        <f t="shared" si="66"/>
        <v>0.94299999999999995</v>
      </c>
      <c r="H337">
        <f t="shared" si="67"/>
        <v>670</v>
      </c>
      <c r="I337" s="17">
        <f t="shared" ref="I337:M346" si="72">(I$159+I$160*$G337+I$161*($G337^2)+I$162*($G337^3)+I$163/($G337^2))/1000</f>
        <v>3.0013564218182034E-2</v>
      </c>
      <c r="J337" s="17">
        <f t="shared" si="72"/>
        <v>3.2355038806003052E-2</v>
      </c>
      <c r="K337" s="17">
        <f t="shared" si="72"/>
        <v>5.3590194464009859E-2</v>
      </c>
      <c r="L337" s="17">
        <f t="shared" si="72"/>
        <v>6.9458187882047481E-2</v>
      </c>
      <c r="M337" s="17">
        <f t="shared" si="72"/>
        <v>4.054316680773714E-2</v>
      </c>
    </row>
    <row r="338" spans="6:13" x14ac:dyDescent="0.2">
      <c r="F338">
        <v>944</v>
      </c>
      <c r="G338">
        <f t="shared" si="66"/>
        <v>0.94399999999999995</v>
      </c>
      <c r="H338">
        <f t="shared" si="67"/>
        <v>671</v>
      </c>
      <c r="I338" s="17">
        <f t="shared" si="72"/>
        <v>3.00167469172773E-2</v>
      </c>
      <c r="J338" s="17">
        <f t="shared" si="72"/>
        <v>3.2361102185572914E-2</v>
      </c>
      <c r="K338" s="17">
        <f t="shared" si="72"/>
        <v>5.3603357957216852E-2</v>
      </c>
      <c r="L338" s="17">
        <f t="shared" si="72"/>
        <v>6.9500468175077157E-2</v>
      </c>
      <c r="M338" s="17">
        <f t="shared" si="72"/>
        <v>4.0555854416303716E-2</v>
      </c>
    </row>
    <row r="339" spans="6:13" x14ac:dyDescent="0.2">
      <c r="F339">
        <v>945</v>
      </c>
      <c r="G339">
        <f t="shared" si="66"/>
        <v>0.94499999999999995</v>
      </c>
      <c r="H339">
        <f t="shared" si="67"/>
        <v>672</v>
      </c>
      <c r="I339" s="17">
        <f t="shared" si="72"/>
        <v>3.0019935578458844E-2</v>
      </c>
      <c r="J339" s="17">
        <f t="shared" si="72"/>
        <v>3.2367160112826747E-2</v>
      </c>
      <c r="K339" s="17">
        <f t="shared" si="72"/>
        <v>5.3616498054977313E-2</v>
      </c>
      <c r="L339" s="17">
        <f t="shared" si="72"/>
        <v>6.9542701758706235E-2</v>
      </c>
      <c r="M339" s="17">
        <f t="shared" si="72"/>
        <v>4.0568541877048045E-2</v>
      </c>
    </row>
    <row r="340" spans="6:13" x14ac:dyDescent="0.2">
      <c r="F340">
        <v>946</v>
      </c>
      <c r="G340">
        <f t="shared" si="66"/>
        <v>0.94599999999999995</v>
      </c>
      <c r="H340">
        <f t="shared" si="67"/>
        <v>673</v>
      </c>
      <c r="I340" s="17">
        <f t="shared" si="72"/>
        <v>3.0023130190152236E-2</v>
      </c>
      <c r="J340" s="17">
        <f t="shared" si="72"/>
        <v>3.2373212579136779E-2</v>
      </c>
      <c r="K340" s="17">
        <f t="shared" si="72"/>
        <v>5.3629614809344466E-2</v>
      </c>
      <c r="L340" s="17">
        <f t="shared" si="72"/>
        <v>6.9584888646444687E-2</v>
      </c>
      <c r="M340" s="17">
        <f t="shared" si="72"/>
        <v>4.0581229172140514E-2</v>
      </c>
    </row>
    <row r="341" spans="6:13" x14ac:dyDescent="0.2">
      <c r="F341">
        <v>947</v>
      </c>
      <c r="G341">
        <f t="shared" si="66"/>
        <v>0.94699999999999995</v>
      </c>
      <c r="H341">
        <f t="shared" si="67"/>
        <v>674</v>
      </c>
      <c r="I341" s="17">
        <f t="shared" si="72"/>
        <v>3.0026330740756318E-2</v>
      </c>
      <c r="J341" s="17">
        <f t="shared" si="72"/>
        <v>3.2379259575964159E-2</v>
      </c>
      <c r="K341" s="17">
        <f t="shared" si="72"/>
        <v>5.3642708272348516E-2</v>
      </c>
      <c r="L341" s="17">
        <f t="shared" si="72"/>
        <v>6.9627028851916767E-2</v>
      </c>
      <c r="M341" s="17">
        <f t="shared" si="72"/>
        <v>4.0593916283765352E-2</v>
      </c>
    </row>
    <row r="342" spans="6:13" x14ac:dyDescent="0.2">
      <c r="F342">
        <v>948</v>
      </c>
      <c r="G342">
        <f t="shared" si="66"/>
        <v>0.94799999999999995</v>
      </c>
      <c r="H342">
        <f t="shared" si="67"/>
        <v>675</v>
      </c>
      <c r="I342" s="17">
        <f t="shared" si="72"/>
        <v>3.0029537218643387E-2</v>
      </c>
      <c r="J342" s="17">
        <f t="shared" si="72"/>
        <v>3.2385301094858342E-2</v>
      </c>
      <c r="K342" s="17">
        <f t="shared" si="72"/>
        <v>5.3655778495996766E-2</v>
      </c>
      <c r="L342" s="17">
        <f t="shared" si="72"/>
        <v>6.9669122388860333E-2</v>
      </c>
      <c r="M342" s="17">
        <f t="shared" si="72"/>
        <v>4.0606603194120565E-2</v>
      </c>
    </row>
    <row r="343" spans="6:13" x14ac:dyDescent="0.2">
      <c r="F343">
        <v>949</v>
      </c>
      <c r="G343">
        <f t="shared" si="66"/>
        <v>0.94899999999999995</v>
      </c>
      <c r="H343">
        <f t="shared" si="67"/>
        <v>676</v>
      </c>
      <c r="I343" s="17">
        <f t="shared" si="72"/>
        <v>3.0032749612159373E-2</v>
      </c>
      <c r="J343" s="17">
        <f t="shared" si="72"/>
        <v>3.2391337127456586E-2</v>
      </c>
      <c r="K343" s="17">
        <f t="shared" si="72"/>
        <v>5.3668825532273791E-2</v>
      </c>
      <c r="L343" s="17">
        <f t="shared" si="72"/>
        <v>6.971116927112618E-2</v>
      </c>
      <c r="M343" s="17">
        <f t="shared" si="72"/>
        <v>4.0619289885417784E-2</v>
      </c>
    </row>
    <row r="344" spans="6:13" x14ac:dyDescent="0.2">
      <c r="F344">
        <v>950</v>
      </c>
      <c r="G344">
        <f t="shared" si="66"/>
        <v>0.95</v>
      </c>
      <c r="H344">
        <f t="shared" si="67"/>
        <v>677</v>
      </c>
      <c r="I344" s="17">
        <f t="shared" si="72"/>
        <v>3.003596790962397E-2</v>
      </c>
      <c r="J344" s="17">
        <f t="shared" si="72"/>
        <v>3.239736766548338E-2</v>
      </c>
      <c r="K344" s="17">
        <f t="shared" si="72"/>
        <v>5.368184943314161E-2</v>
      </c>
      <c r="L344" s="17">
        <f t="shared" si="72"/>
        <v>6.9753169512677293E-2</v>
      </c>
      <c r="M344" s="17">
        <f t="shared" si="72"/>
        <v>4.0631976339882268E-2</v>
      </c>
    </row>
    <row r="345" spans="6:13" x14ac:dyDescent="0.2">
      <c r="F345">
        <v>951</v>
      </c>
      <c r="G345">
        <f t="shared" si="66"/>
        <v>0.95099999999999996</v>
      </c>
      <c r="H345">
        <f t="shared" si="67"/>
        <v>678</v>
      </c>
      <c r="I345" s="17">
        <f t="shared" si="72"/>
        <v>3.0039192099330835E-2</v>
      </c>
      <c r="J345" s="17">
        <f t="shared" si="72"/>
        <v>3.2403392700749857E-2</v>
      </c>
      <c r="K345" s="17">
        <f t="shared" si="72"/>
        <v>5.3694850250539758E-2</v>
      </c>
      <c r="L345" s="17">
        <f t="shared" si="72"/>
        <v>6.9795123127588038E-2</v>
      </c>
      <c r="M345" s="17">
        <f t="shared" si="72"/>
        <v>4.0644662539752727E-2</v>
      </c>
    </row>
    <row r="346" spans="6:13" x14ac:dyDescent="0.2">
      <c r="F346">
        <v>952</v>
      </c>
      <c r="G346">
        <f t="shared" si="66"/>
        <v>0.95199999999999996</v>
      </c>
      <c r="H346">
        <f t="shared" si="67"/>
        <v>679</v>
      </c>
      <c r="I346" s="17">
        <f t="shared" si="72"/>
        <v>3.0042422169547743E-2</v>
      </c>
      <c r="J346" s="17">
        <f t="shared" si="72"/>
        <v>3.2409412225153311E-2</v>
      </c>
      <c r="K346" s="17">
        <f t="shared" si="72"/>
        <v>5.370782803638547E-2</v>
      </c>
      <c r="L346" s="17">
        <f t="shared" si="72"/>
        <v>6.9837030130043734E-2</v>
      </c>
      <c r="M346" s="17">
        <f t="shared" si="72"/>
        <v>4.0657348467281307E-2</v>
      </c>
    </row>
    <row r="347" spans="6:13" x14ac:dyDescent="0.2">
      <c r="F347">
        <v>953</v>
      </c>
      <c r="G347">
        <f t="shared" si="66"/>
        <v>0.95299999999999996</v>
      </c>
      <c r="H347">
        <f t="shared" si="67"/>
        <v>680</v>
      </c>
      <c r="I347" s="17">
        <f t="shared" ref="I347:M356" si="73">(I$159+I$160*$G347+I$161*($G347^2)+I$162*($G347^3)+I$163/($G347^2))/1000</f>
        <v>3.0045658108516757E-2</v>
      </c>
      <c r="J347" s="17">
        <f t="shared" si="73"/>
        <v>3.2415426230676586E-2</v>
      </c>
      <c r="K347" s="17">
        <f t="shared" si="73"/>
        <v>5.3720782842573839E-2</v>
      </c>
      <c r="L347" s="17">
        <f t="shared" si="73"/>
        <v>6.9878890534339516E-2</v>
      </c>
      <c r="M347" s="17">
        <f t="shared" si="73"/>
        <v>4.0670034104733459E-2</v>
      </c>
    </row>
    <row r="348" spans="6:13" x14ac:dyDescent="0.2">
      <c r="F348">
        <v>954</v>
      </c>
      <c r="G348">
        <f t="shared" si="66"/>
        <v>0.95399999999999996</v>
      </c>
      <c r="H348">
        <f t="shared" si="67"/>
        <v>681</v>
      </c>
      <c r="I348" s="17">
        <f t="shared" si="73"/>
        <v>3.0048899904454359E-2</v>
      </c>
      <c r="J348" s="17">
        <f t="shared" si="73"/>
        <v>3.2421434709387624E-2</v>
      </c>
      <c r="K348" s="17">
        <f t="shared" si="73"/>
        <v>5.3733714720977897E-2</v>
      </c>
      <c r="L348" s="17">
        <f t="shared" si="73"/>
        <v>6.9920704354880195E-2</v>
      </c>
      <c r="M348" s="17">
        <f t="shared" si="73"/>
        <v>4.0682719434387907E-2</v>
      </c>
    </row>
    <row r="349" spans="6:13" x14ac:dyDescent="0.2">
      <c r="F349">
        <v>955</v>
      </c>
      <c r="G349">
        <f t="shared" si="66"/>
        <v>0.95499999999999996</v>
      </c>
      <c r="H349">
        <f t="shared" si="67"/>
        <v>682</v>
      </c>
      <c r="I349" s="17">
        <f t="shared" si="73"/>
        <v>3.0052147545551647E-2</v>
      </c>
      <c r="J349" s="17">
        <f t="shared" si="73"/>
        <v>3.2427437653438848E-2</v>
      </c>
      <c r="K349" s="17">
        <f t="shared" si="73"/>
        <v>5.3746623723448815E-2</v>
      </c>
      <c r="L349" s="17">
        <f t="shared" si="73"/>
        <v>6.996247160617905E-2</v>
      </c>
      <c r="M349" s="17">
        <f t="shared" si="73"/>
        <v>4.0695404438536482E-2</v>
      </c>
    </row>
    <row r="350" spans="6:13" x14ac:dyDescent="0.2">
      <c r="F350">
        <v>956</v>
      </c>
      <c r="G350">
        <f t="shared" si="66"/>
        <v>0.95599999999999996</v>
      </c>
      <c r="H350">
        <f t="shared" si="67"/>
        <v>683</v>
      </c>
      <c r="I350" s="17">
        <f t="shared" si="73"/>
        <v>3.0055401019974486E-2</v>
      </c>
      <c r="J350" s="17">
        <f t="shared" si="73"/>
        <v>3.243343505506667E-2</v>
      </c>
      <c r="K350" s="17">
        <f t="shared" si="73"/>
        <v>5.3759509901815987E-2</v>
      </c>
      <c r="L350" s="17">
        <f t="shared" si="73"/>
        <v>7.0004192302857496E-2</v>
      </c>
      <c r="M350" s="17">
        <f t="shared" si="73"/>
        <v>4.0708089099484132E-2</v>
      </c>
    </row>
    <row r="351" spans="6:13" x14ac:dyDescent="0.2">
      <c r="F351">
        <v>957</v>
      </c>
      <c r="G351">
        <f t="shared" si="66"/>
        <v>0.95699999999999996</v>
      </c>
      <c r="H351">
        <f t="shared" si="67"/>
        <v>684</v>
      </c>
      <c r="I351" s="17">
        <f t="shared" si="73"/>
        <v>3.0058660315863631E-2</v>
      </c>
      <c r="J351" s="17">
        <f t="shared" si="73"/>
        <v>3.2439426906590962E-2</v>
      </c>
      <c r="K351" s="17">
        <f t="shared" si="73"/>
        <v>5.3772373307887242E-2</v>
      </c>
      <c r="L351" s="17">
        <f t="shared" si="73"/>
        <v>7.0045866459644252E-2</v>
      </c>
      <c r="M351" s="17">
        <f t="shared" si="73"/>
        <v>4.0720773399548792E-2</v>
      </c>
    </row>
    <row r="352" spans="6:13" x14ac:dyDescent="0.2">
      <c r="F352">
        <v>958</v>
      </c>
      <c r="G352">
        <f t="shared" si="66"/>
        <v>0.95799999999999996</v>
      </c>
      <c r="H352">
        <f t="shared" si="67"/>
        <v>685</v>
      </c>
      <c r="I352" s="17">
        <f t="shared" si="73"/>
        <v>3.0061925421334953E-2</v>
      </c>
      <c r="J352" s="17">
        <f t="shared" si="73"/>
        <v>3.2445413200414538E-2</v>
      </c>
      <c r="K352" s="17">
        <f t="shared" si="73"/>
        <v>5.3785213993448877E-2</v>
      </c>
      <c r="L352" s="17">
        <f t="shared" si="73"/>
        <v>7.0087494091374672E-2</v>
      </c>
      <c r="M352" s="17">
        <f t="shared" si="73"/>
        <v>4.0733457321061282E-2</v>
      </c>
    </row>
    <row r="353" spans="6:13" x14ac:dyDescent="0.2">
      <c r="F353">
        <v>959</v>
      </c>
      <c r="G353">
        <f t="shared" si="66"/>
        <v>0.95899999999999996</v>
      </c>
      <c r="H353">
        <f t="shared" si="67"/>
        <v>686</v>
      </c>
      <c r="I353" s="17">
        <f t="shared" si="73"/>
        <v>3.0065196324479505E-2</v>
      </c>
      <c r="J353" s="17">
        <f t="shared" si="73"/>
        <v>3.2451393929022618E-2</v>
      </c>
      <c r="K353" s="17">
        <f t="shared" si="73"/>
        <v>5.3798032010265881E-2</v>
      </c>
      <c r="L353" s="17">
        <f t="shared" si="73"/>
        <v>7.012907521299018E-2</v>
      </c>
      <c r="M353" s="17">
        <f t="shared" si="73"/>
        <v>4.0746140846365277E-2</v>
      </c>
    </row>
    <row r="354" spans="6:13" x14ac:dyDescent="0.2">
      <c r="F354">
        <v>960</v>
      </c>
      <c r="G354">
        <f t="shared" si="66"/>
        <v>0.96</v>
      </c>
      <c r="H354">
        <f t="shared" si="67"/>
        <v>687</v>
      </c>
      <c r="I354" s="17">
        <f t="shared" si="73"/>
        <v>3.0068473013363777E-2</v>
      </c>
      <c r="J354" s="17">
        <f t="shared" si="73"/>
        <v>3.2457369084982333E-2</v>
      </c>
      <c r="K354" s="17">
        <f t="shared" si="73"/>
        <v>5.3810827410082002E-2</v>
      </c>
      <c r="L354" s="17">
        <f t="shared" si="73"/>
        <v>7.0170609839537448E-2</v>
      </c>
      <c r="M354" s="17">
        <f t="shared" si="73"/>
        <v>4.0758823957817221E-2</v>
      </c>
    </row>
    <row r="355" spans="6:13" x14ac:dyDescent="0.2">
      <c r="F355">
        <v>961</v>
      </c>
      <c r="G355">
        <f t="shared" si="66"/>
        <v>0.96099999999999997</v>
      </c>
      <c r="H355">
        <f t="shared" si="67"/>
        <v>688</v>
      </c>
      <c r="I355" s="17">
        <f t="shared" si="73"/>
        <v>3.0071755476029763E-2</v>
      </c>
      <c r="J355" s="17">
        <f t="shared" si="73"/>
        <v>3.2463338660942198E-2</v>
      </c>
      <c r="K355" s="17">
        <f t="shared" si="73"/>
        <v>5.3823600244619935E-2</v>
      </c>
      <c r="L355" s="17">
        <f t="shared" si="73"/>
        <v>7.0212097986167926E-2</v>
      </c>
      <c r="M355" s="17">
        <f t="shared" si="73"/>
        <v>4.0771506637786184E-2</v>
      </c>
    </row>
    <row r="356" spans="6:13" x14ac:dyDescent="0.2">
      <c r="F356">
        <v>962</v>
      </c>
      <c r="G356">
        <f t="shared" si="66"/>
        <v>0.96199999999999997</v>
      </c>
      <c r="H356">
        <f t="shared" si="67"/>
        <v>689</v>
      </c>
      <c r="I356" s="17">
        <f t="shared" si="73"/>
        <v>3.0075043700495172E-2</v>
      </c>
      <c r="J356" s="17">
        <f t="shared" si="73"/>
        <v>3.2469302649631653E-2</v>
      </c>
      <c r="K356" s="17">
        <f t="shared" si="73"/>
        <v>5.3836350565581406E-2</v>
      </c>
      <c r="L356" s="17">
        <f t="shared" si="73"/>
        <v>7.0253539668137063E-2</v>
      </c>
      <c r="M356" s="17">
        <f t="shared" si="73"/>
        <v>4.0784188868653849E-2</v>
      </c>
    </row>
    <row r="357" spans="6:13" x14ac:dyDescent="0.2">
      <c r="F357">
        <v>963</v>
      </c>
      <c r="G357">
        <f t="shared" si="66"/>
        <v>0.96299999999999997</v>
      </c>
      <c r="H357">
        <f t="shared" si="67"/>
        <v>690</v>
      </c>
      <c r="I357" s="17">
        <f t="shared" ref="I357:M366" si="74">(I$159+I$160*$G357+I$161*($G357^2)+I$162*($G357^3)+I$163/($G357^2))/1000</f>
        <v>3.0078337674753534E-2</v>
      </c>
      <c r="J357" s="17">
        <f t="shared" si="74"/>
        <v>3.2475261043860434E-2</v>
      </c>
      <c r="K357" s="17">
        <f t="shared" si="74"/>
        <v>5.3849078424647361E-2</v>
      </c>
      <c r="L357" s="17">
        <f t="shared" si="74"/>
        <v>7.0294934900803602E-2</v>
      </c>
      <c r="M357" s="17">
        <f t="shared" si="74"/>
        <v>4.0796870632814432E-2</v>
      </c>
    </row>
    <row r="358" spans="6:13" x14ac:dyDescent="0.2">
      <c r="F358">
        <v>964</v>
      </c>
      <c r="G358">
        <f t="shared" si="66"/>
        <v>0.96399999999999997</v>
      </c>
      <c r="H358">
        <f t="shared" si="67"/>
        <v>691</v>
      </c>
      <c r="I358" s="17">
        <f t="shared" si="74"/>
        <v>3.0081637386774381E-2</v>
      </c>
      <c r="J358" s="17">
        <f t="shared" si="74"/>
        <v>3.2481213836518238E-2</v>
      </c>
      <c r="K358" s="17">
        <f t="shared" si="74"/>
        <v>5.3861783873478009E-2</v>
      </c>
      <c r="L358" s="17">
        <f t="shared" si="74"/>
        <v>7.0336283699629146E-2</v>
      </c>
      <c r="M358" s="17">
        <f t="shared" si="74"/>
        <v>4.0809551912674553E-2</v>
      </c>
    </row>
    <row r="359" spans="6:13" x14ac:dyDescent="0.2">
      <c r="F359">
        <v>965</v>
      </c>
      <c r="G359">
        <f t="shared" ref="G359:G422" si="75">F359/1000</f>
        <v>0.96499999999999997</v>
      </c>
      <c r="H359">
        <f t="shared" si="67"/>
        <v>692</v>
      </c>
      <c r="I359" s="17">
        <f t="shared" si="74"/>
        <v>3.0084942824503417E-2</v>
      </c>
      <c r="J359" s="17">
        <f t="shared" si="74"/>
        <v>3.2487161020574098E-2</v>
      </c>
      <c r="K359" s="17">
        <f t="shared" si="74"/>
        <v>5.3874466963713029E-2</v>
      </c>
      <c r="L359" s="17">
        <f t="shared" si="74"/>
        <v>7.0377586080177301E-2</v>
      </c>
      <c r="M359" s="17">
        <f t="shared" si="74"/>
        <v>4.0822232690653215E-2</v>
      </c>
    </row>
    <row r="360" spans="6:13" x14ac:dyDescent="0.2">
      <c r="F360">
        <v>966</v>
      </c>
      <c r="G360">
        <f t="shared" si="75"/>
        <v>0.96599999999999997</v>
      </c>
      <c r="H360">
        <f t="shared" si="67"/>
        <v>693</v>
      </c>
      <c r="I360" s="17">
        <f t="shared" si="74"/>
        <v>3.0088253975862591E-2</v>
      </c>
      <c r="J360" s="17">
        <f t="shared" si="74"/>
        <v>3.2493102589075958E-2</v>
      </c>
      <c r="K360" s="17">
        <f t="shared" si="74"/>
        <v>5.3887127746971672E-2</v>
      </c>
      <c r="L360" s="17">
        <f t="shared" si="74"/>
        <v>7.0418842058113232E-2</v>
      </c>
      <c r="M360" s="17">
        <f t="shared" si="74"/>
        <v>4.0834912949181679E-2</v>
      </c>
    </row>
    <row r="361" spans="6:13" x14ac:dyDescent="0.2">
      <c r="F361">
        <v>967</v>
      </c>
      <c r="G361">
        <f t="shared" si="75"/>
        <v>0.96699999999999997</v>
      </c>
      <c r="H361">
        <f t="shared" ref="H361:H424" si="76">F361-273</f>
        <v>694</v>
      </c>
      <c r="I361" s="17">
        <f t="shared" si="74"/>
        <v>3.0091570828750313E-2</v>
      </c>
      <c r="J361" s="17">
        <f t="shared" si="74"/>
        <v>3.2499038535150175E-2</v>
      </c>
      <c r="K361" s="17">
        <f t="shared" si="74"/>
        <v>5.3899766274852871E-2</v>
      </c>
      <c r="L361" s="17">
        <f t="shared" si="74"/>
        <v>7.0460051649202812E-2</v>
      </c>
      <c r="M361" s="17">
        <f t="shared" si="74"/>
        <v>4.0847592670703446E-2</v>
      </c>
    </row>
    <row r="362" spans="6:13" x14ac:dyDescent="0.2">
      <c r="F362">
        <v>968</v>
      </c>
      <c r="G362">
        <f t="shared" si="75"/>
        <v>0.96799999999999997</v>
      </c>
      <c r="H362">
        <f t="shared" si="76"/>
        <v>695</v>
      </c>
      <c r="I362" s="17">
        <f t="shared" si="74"/>
        <v>3.0094893371041587E-2</v>
      </c>
      <c r="J362" s="17">
        <f t="shared" si="74"/>
        <v>3.2504968852000986E-2</v>
      </c>
      <c r="K362" s="17">
        <f t="shared" si="74"/>
        <v>5.3912382598935389E-2</v>
      </c>
      <c r="L362" s="17">
        <f t="shared" si="74"/>
        <v>7.0501214869312254E-2</v>
      </c>
      <c r="M362" s="17">
        <f t="shared" si="74"/>
        <v>4.0860271837674128E-2</v>
      </c>
    </row>
    <row r="363" spans="6:13" x14ac:dyDescent="0.2">
      <c r="F363">
        <v>969</v>
      </c>
      <c r="G363">
        <f t="shared" si="75"/>
        <v>0.96899999999999997</v>
      </c>
      <c r="H363">
        <f t="shared" si="76"/>
        <v>696</v>
      </c>
      <c r="I363" s="17">
        <f t="shared" si="74"/>
        <v>3.0098221590588115E-2</v>
      </c>
      <c r="J363" s="17">
        <f t="shared" si="74"/>
        <v>3.2510893532910104E-2</v>
      </c>
      <c r="K363" s="17">
        <f t="shared" si="74"/>
        <v>5.3924976770777941E-2</v>
      </c>
      <c r="L363" s="17">
        <f t="shared" si="74"/>
        <v>7.0542331734407285E-2</v>
      </c>
      <c r="M363" s="17">
        <f t="shared" si="74"/>
        <v>4.0872950432561374E-2</v>
      </c>
    </row>
    <row r="364" spans="6:13" x14ac:dyDescent="0.2">
      <c r="F364">
        <v>970</v>
      </c>
      <c r="G364">
        <f t="shared" si="75"/>
        <v>0.97</v>
      </c>
      <c r="H364">
        <f t="shared" si="76"/>
        <v>697</v>
      </c>
      <c r="I364" s="17">
        <f t="shared" si="74"/>
        <v>3.0101555475218516E-2</v>
      </c>
      <c r="J364" s="17">
        <f t="shared" si="74"/>
        <v>3.2516812571236155E-2</v>
      </c>
      <c r="K364" s="17">
        <f t="shared" si="74"/>
        <v>5.3937548841919272E-2</v>
      </c>
      <c r="L364" s="17">
        <f t="shared" si="74"/>
        <v>7.0583402260552611E-2</v>
      </c>
      <c r="M364" s="17">
        <f t="shared" si="74"/>
        <v>4.0885628437844844E-2</v>
      </c>
    </row>
    <row r="365" spans="6:13" x14ac:dyDescent="0.2">
      <c r="F365">
        <v>971</v>
      </c>
      <c r="G365">
        <f t="shared" si="75"/>
        <v>0.97099999999999997</v>
      </c>
      <c r="H365">
        <f t="shared" si="76"/>
        <v>698</v>
      </c>
      <c r="I365" s="17">
        <f t="shared" si="74"/>
        <v>3.0104895012738386E-2</v>
      </c>
      <c r="J365" s="17">
        <f t="shared" si="74"/>
        <v>3.2522725960414278E-2</v>
      </c>
      <c r="K365" s="17">
        <f t="shared" si="74"/>
        <v>5.3950098863878394E-2</v>
      </c>
      <c r="L365" s="17">
        <f t="shared" si="74"/>
        <v>7.062442646391133E-2</v>
      </c>
      <c r="M365" s="17">
        <f t="shared" si="74"/>
        <v>4.0898305836016093E-2</v>
      </c>
    </row>
    <row r="366" spans="6:13" x14ac:dyDescent="0.2">
      <c r="F366">
        <v>972</v>
      </c>
      <c r="G366">
        <f t="shared" si="75"/>
        <v>0.97199999999999998</v>
      </c>
      <c r="H366">
        <f t="shared" si="76"/>
        <v>699</v>
      </c>
      <c r="I366" s="17">
        <f t="shared" si="74"/>
        <v>3.0108240190930481E-2</v>
      </c>
      <c r="J366" s="17">
        <f t="shared" si="74"/>
        <v>3.2528633693955609E-2</v>
      </c>
      <c r="K366" s="17">
        <f t="shared" si="74"/>
        <v>5.396262688815455E-2</v>
      </c>
      <c r="L366" s="17">
        <f t="shared" si="74"/>
        <v>7.0665404360744297E-2</v>
      </c>
      <c r="M366" s="17">
        <f t="shared" si="74"/>
        <v>4.091098260957849E-2</v>
      </c>
    </row>
    <row r="367" spans="6:13" x14ac:dyDescent="0.2">
      <c r="F367">
        <v>973</v>
      </c>
      <c r="G367">
        <f t="shared" si="75"/>
        <v>0.97299999999999998</v>
      </c>
      <c r="H367">
        <f t="shared" si="76"/>
        <v>700</v>
      </c>
      <c r="I367" s="17">
        <f t="shared" ref="I367:M376" si="77">(I$159+I$160*$G367+I$161*($G367^2)+I$162*($G367^3)+I$163/($G367^2))/1000</f>
        <v>3.0111590997554883E-2</v>
      </c>
      <c r="J367" s="17">
        <f t="shared" si="77"/>
        <v>3.2534535765446813E-2</v>
      </c>
      <c r="K367" s="17">
        <f t="shared" si="77"/>
        <v>5.3975132966227503E-2</v>
      </c>
      <c r="L367" s="17">
        <f t="shared" si="77"/>
        <v>7.0706335967409481E-2</v>
      </c>
      <c r="M367" s="17">
        <f t="shared" si="77"/>
        <v>4.0923658741047225E-2</v>
      </c>
    </row>
    <row r="368" spans="6:13" x14ac:dyDescent="0.2">
      <c r="F368">
        <v>974</v>
      </c>
      <c r="G368">
        <f t="shared" si="75"/>
        <v>0.97399999999999998</v>
      </c>
      <c r="H368">
        <f t="shared" si="76"/>
        <v>701</v>
      </c>
      <c r="I368" s="17">
        <f t="shared" si="77"/>
        <v>3.0114947420349102E-2</v>
      </c>
      <c r="J368" s="17">
        <f t="shared" si="77"/>
        <v>3.2540432168549654E-2</v>
      </c>
      <c r="K368" s="17">
        <f t="shared" si="77"/>
        <v>5.3987617149557507E-2</v>
      </c>
      <c r="L368" s="17">
        <f t="shared" si="77"/>
        <v>7.0747221300361429E-2</v>
      </c>
      <c r="M368" s="17">
        <f t="shared" si="77"/>
        <v>4.0936334212949101E-2</v>
      </c>
    </row>
    <row r="369" spans="6:13" x14ac:dyDescent="0.2">
      <c r="F369">
        <v>975</v>
      </c>
      <c r="G369">
        <f t="shared" si="75"/>
        <v>0.97499999999999998</v>
      </c>
      <c r="H369">
        <f t="shared" si="76"/>
        <v>702</v>
      </c>
      <c r="I369" s="17">
        <f t="shared" si="77"/>
        <v>3.0118309447028209E-2</v>
      </c>
      <c r="J369" s="17">
        <f t="shared" si="77"/>
        <v>3.254632289700049E-2</v>
      </c>
      <c r="K369" s="17">
        <f t="shared" si="77"/>
        <v>5.4000079489585524E-2</v>
      </c>
      <c r="L369" s="17">
        <f t="shared" si="77"/>
        <v>7.078806037615068E-2</v>
      </c>
      <c r="M369" s="17">
        <f t="shared" si="77"/>
        <v>4.0949009007822564E-2</v>
      </c>
    </row>
    <row r="370" spans="6:13" x14ac:dyDescent="0.2">
      <c r="F370">
        <v>976</v>
      </c>
      <c r="G370">
        <f t="shared" si="75"/>
        <v>0.97599999999999998</v>
      </c>
      <c r="H370">
        <f t="shared" si="76"/>
        <v>703</v>
      </c>
      <c r="I370" s="17">
        <f t="shared" si="77"/>
        <v>3.0121677065284999E-2</v>
      </c>
      <c r="J370" s="17">
        <f t="shared" si="77"/>
        <v>3.2552207944609828E-2</v>
      </c>
      <c r="K370" s="17">
        <f t="shared" si="77"/>
        <v>5.4012520037733311E-2</v>
      </c>
      <c r="L370" s="17">
        <f t="shared" si="77"/>
        <v>7.0828853211423098E-2</v>
      </c>
      <c r="M370" s="17">
        <f t="shared" si="77"/>
        <v>4.0961683108217635E-2</v>
      </c>
    </row>
    <row r="371" spans="6:13" x14ac:dyDescent="0.2">
      <c r="F371">
        <v>977</v>
      </c>
      <c r="G371">
        <f t="shared" si="75"/>
        <v>0.97699999999999998</v>
      </c>
      <c r="H371">
        <f t="shared" si="76"/>
        <v>704</v>
      </c>
      <c r="I371" s="17">
        <f t="shared" si="77"/>
        <v>3.012505026279013E-2</v>
      </c>
      <c r="J371" s="17">
        <f t="shared" si="77"/>
        <v>3.2558087305261899E-2</v>
      </c>
      <c r="K371" s="17">
        <f t="shared" si="77"/>
        <v>5.4024938845403513E-2</v>
      </c>
      <c r="L371" s="17">
        <f t="shared" si="77"/>
        <v>7.0869599822919349E-2</v>
      </c>
      <c r="M371" s="17">
        <f t="shared" si="77"/>
        <v>4.0974356496695771E-2</v>
      </c>
    </row>
    <row r="372" spans="6:13" x14ac:dyDescent="0.2">
      <c r="F372">
        <v>978</v>
      </c>
      <c r="G372">
        <f t="shared" si="75"/>
        <v>0.97799999999999998</v>
      </c>
      <c r="H372">
        <f t="shared" si="76"/>
        <v>705</v>
      </c>
      <c r="I372" s="17">
        <f t="shared" si="77"/>
        <v>3.0128429027192215E-2</v>
      </c>
      <c r="J372" s="17">
        <f t="shared" si="77"/>
        <v>3.2563960972914162E-2</v>
      </c>
      <c r="K372" s="17">
        <f t="shared" si="77"/>
        <v>5.4037335963979839E-2</v>
      </c>
      <c r="L372" s="17">
        <f t="shared" si="77"/>
        <v>7.091030022747434E-2</v>
      </c>
      <c r="M372" s="17">
        <f t="shared" si="77"/>
        <v>4.0987029155829843E-2</v>
      </c>
    </row>
    <row r="373" spans="6:13" x14ac:dyDescent="0.2">
      <c r="F373">
        <v>979</v>
      </c>
      <c r="G373">
        <f t="shared" si="75"/>
        <v>0.97899999999999998</v>
      </c>
      <c r="H373">
        <f t="shared" si="76"/>
        <v>706</v>
      </c>
      <c r="I373" s="17">
        <f t="shared" si="77"/>
        <v>3.0131813346118041E-2</v>
      </c>
      <c r="J373" s="17">
        <f t="shared" si="77"/>
        <v>3.2569828941596865E-2</v>
      </c>
      <c r="K373" s="17">
        <f t="shared" si="77"/>
        <v>5.4049711444827148E-2</v>
      </c>
      <c r="L373" s="17">
        <f t="shared" si="77"/>
        <v>7.0950954442016559E-2</v>
      </c>
      <c r="M373" s="17">
        <f t="shared" si="77"/>
        <v>4.0999701068204074E-2</v>
      </c>
    </row>
    <row r="374" spans="6:13" x14ac:dyDescent="0.2">
      <c r="F374">
        <v>980</v>
      </c>
      <c r="G374">
        <f t="shared" si="75"/>
        <v>0.98</v>
      </c>
      <c r="H374">
        <f t="shared" si="76"/>
        <v>707</v>
      </c>
      <c r="I374" s="17">
        <f t="shared" si="77"/>
        <v>3.0135203207172591E-2</v>
      </c>
      <c r="J374" s="17">
        <f t="shared" si="77"/>
        <v>3.2575691205412621E-2</v>
      </c>
      <c r="K374" s="17">
        <f t="shared" si="77"/>
        <v>5.4062065339291518E-2</v>
      </c>
      <c r="L374" s="17">
        <f t="shared" si="77"/>
        <v>7.0991562483567555E-2</v>
      </c>
      <c r="M374" s="17">
        <f t="shared" si="77"/>
        <v>4.1012372216413927E-2</v>
      </c>
    </row>
    <row r="375" spans="6:13" x14ac:dyDescent="0.2">
      <c r="F375">
        <v>981</v>
      </c>
      <c r="G375">
        <f t="shared" si="75"/>
        <v>0.98099999999999998</v>
      </c>
      <c r="H375">
        <f t="shared" si="76"/>
        <v>708</v>
      </c>
      <c r="I375" s="17">
        <f t="shared" si="77"/>
        <v>3.0138598597939284E-2</v>
      </c>
      <c r="J375" s="17">
        <f t="shared" si="77"/>
        <v>3.2581547758535993E-2</v>
      </c>
      <c r="K375" s="17">
        <f t="shared" si="77"/>
        <v>5.4074397698700427E-2</v>
      </c>
      <c r="L375" s="17">
        <f t="shared" si="77"/>
        <v>7.103212436924139E-2</v>
      </c>
      <c r="M375" s="17">
        <f t="shared" si="77"/>
        <v>4.1025042583066065E-2</v>
      </c>
    </row>
    <row r="376" spans="6:13" x14ac:dyDescent="0.2">
      <c r="F376">
        <v>982</v>
      </c>
      <c r="G376">
        <f t="shared" si="75"/>
        <v>0.98199999999999998</v>
      </c>
      <c r="H376">
        <f t="shared" si="76"/>
        <v>709</v>
      </c>
      <c r="I376" s="17">
        <f t="shared" si="77"/>
        <v>3.0141999505980049E-2</v>
      </c>
      <c r="J376" s="17">
        <f t="shared" si="77"/>
        <v>3.2587398595212931E-2</v>
      </c>
      <c r="K376" s="17">
        <f t="shared" si="77"/>
        <v>5.4086708574362874E-2</v>
      </c>
      <c r="L376" s="17">
        <f t="shared" si="77"/>
        <v>7.1072640116244021E-2</v>
      </c>
      <c r="M376" s="17">
        <f t="shared" si="77"/>
        <v>4.1037712150778276E-2</v>
      </c>
    </row>
    <row r="377" spans="6:13" x14ac:dyDescent="0.2">
      <c r="F377">
        <v>983</v>
      </c>
      <c r="G377">
        <f t="shared" si="75"/>
        <v>0.98299999999999998</v>
      </c>
      <c r="H377">
        <f t="shared" si="76"/>
        <v>710</v>
      </c>
      <c r="I377" s="17">
        <f t="shared" ref="I377:M386" si="78">(I$159+I$160*$G377+I$161*($G377^2)+I$162*($G377^3)+I$163/($G377^2))/1000</f>
        <v>3.0145405918835431E-2</v>
      </c>
      <c r="J377" s="17">
        <f t="shared" si="78"/>
        <v>3.2593243709760494E-2</v>
      </c>
      <c r="K377" s="17">
        <f t="shared" si="78"/>
        <v>5.40989980175694E-2</v>
      </c>
      <c r="L377" s="17">
        <f t="shared" si="78"/>
        <v>7.1113109741872793E-2</v>
      </c>
      <c r="M377" s="17">
        <f t="shared" si="78"/>
        <v>4.1050380902179433E-2</v>
      </c>
    </row>
    <row r="378" spans="6:13" x14ac:dyDescent="0.2">
      <c r="F378">
        <v>984</v>
      </c>
      <c r="G378">
        <f t="shared" si="75"/>
        <v>0.98399999999999999</v>
      </c>
      <c r="H378">
        <f t="shared" si="76"/>
        <v>711</v>
      </c>
      <c r="I378" s="17">
        <f t="shared" si="78"/>
        <v>3.0148817824024822E-2</v>
      </c>
      <c r="J378" s="17">
        <f t="shared" si="78"/>
        <v>3.2599083096566304E-2</v>
      </c>
      <c r="K378" s="17">
        <f t="shared" si="78"/>
        <v>5.4111266079592324E-2</v>
      </c>
      <c r="L378" s="17">
        <f t="shared" si="78"/>
        <v>7.1153533263515839E-2</v>
      </c>
      <c r="M378" s="17">
        <f t="shared" si="78"/>
        <v>4.106304881990936E-2</v>
      </c>
    </row>
    <row r="379" spans="6:13" x14ac:dyDescent="0.2">
      <c r="F379">
        <v>985</v>
      </c>
      <c r="G379">
        <f t="shared" si="75"/>
        <v>0.98499999999999999</v>
      </c>
      <c r="H379">
        <f t="shared" si="76"/>
        <v>712</v>
      </c>
      <c r="I379" s="17">
        <f t="shared" si="78"/>
        <v>3.0152235209046464E-2</v>
      </c>
      <c r="J379" s="17">
        <f t="shared" si="78"/>
        <v>3.2604916750088177E-2</v>
      </c>
      <c r="K379" s="17">
        <f t="shared" si="78"/>
        <v>5.4123512811685745E-2</v>
      </c>
      <c r="L379" s="17">
        <f t="shared" si="78"/>
        <v>7.1193910698651525E-2</v>
      </c>
      <c r="M379" s="17">
        <f t="shared" si="78"/>
        <v>4.1075715886618847E-2</v>
      </c>
    </row>
    <row r="380" spans="6:13" x14ac:dyDescent="0.2">
      <c r="F380">
        <v>986</v>
      </c>
      <c r="G380">
        <f t="shared" si="75"/>
        <v>0.98599999999999999</v>
      </c>
      <c r="H380">
        <f t="shared" si="76"/>
        <v>713</v>
      </c>
      <c r="I380" s="17">
        <f t="shared" si="78"/>
        <v>3.0155658061377683E-2</v>
      </c>
      <c r="J380" s="17">
        <f t="shared" si="78"/>
        <v>3.2610744664853676E-2</v>
      </c>
      <c r="K380" s="17">
        <f t="shared" si="78"/>
        <v>5.413573826508572E-2</v>
      </c>
      <c r="L380" s="17">
        <f t="shared" si="78"/>
        <v>7.1234242064847977E-2</v>
      </c>
      <c r="M380" s="17">
        <f t="shared" si="78"/>
        <v>4.1088382084969503E-2</v>
      </c>
    </row>
    <row r="381" spans="6:13" x14ac:dyDescent="0.2">
      <c r="F381">
        <v>987</v>
      </c>
      <c r="G381">
        <f t="shared" si="75"/>
        <v>0.98699999999999999</v>
      </c>
      <c r="H381">
        <f t="shared" si="76"/>
        <v>714</v>
      </c>
      <c r="I381" s="17">
        <f t="shared" si="78"/>
        <v>3.015908636847494E-2</v>
      </c>
      <c r="J381" s="17">
        <f t="shared" si="78"/>
        <v>3.2616566835459666E-2</v>
      </c>
      <c r="K381" s="17">
        <f t="shared" si="78"/>
        <v>5.4147942491010355E-2</v>
      </c>
      <c r="L381" s="17">
        <f t="shared" si="78"/>
        <v>7.127452737976242E-2</v>
      </c>
      <c r="M381" s="17">
        <f t="shared" si="78"/>
        <v>4.1101047397633754E-2</v>
      </c>
    </row>
    <row r="382" spans="6:13" x14ac:dyDescent="0.2">
      <c r="F382">
        <v>988</v>
      </c>
      <c r="G382">
        <f t="shared" si="75"/>
        <v>0.98799999999999999</v>
      </c>
      <c r="H382">
        <f t="shared" si="76"/>
        <v>715</v>
      </c>
      <c r="I382" s="17">
        <f t="shared" si="78"/>
        <v>3.0162520117773997E-2</v>
      </c>
      <c r="J382" s="17">
        <f t="shared" si="78"/>
        <v>3.2622383256571914E-2</v>
      </c>
      <c r="K382" s="17">
        <f t="shared" si="78"/>
        <v>5.4160125540659881E-2</v>
      </c>
      <c r="L382" s="17">
        <f t="shared" si="78"/>
        <v>7.1314766661140713E-2</v>
      </c>
      <c r="M382" s="17">
        <f t="shared" si="78"/>
        <v>4.1113711807294749E-2</v>
      </c>
    </row>
    <row r="383" spans="6:13" x14ac:dyDescent="0.2">
      <c r="F383">
        <v>989</v>
      </c>
      <c r="G383">
        <f t="shared" si="75"/>
        <v>0.98899999999999999</v>
      </c>
      <c r="H383">
        <f t="shared" si="76"/>
        <v>716</v>
      </c>
      <c r="I383" s="17">
        <f t="shared" si="78"/>
        <v>3.0165959296690054E-2</v>
      </c>
      <c r="J383" s="17">
        <f t="shared" si="78"/>
        <v>3.2628193922924702E-2</v>
      </c>
      <c r="K383" s="17">
        <f t="shared" si="78"/>
        <v>5.4172287465216844E-2</v>
      </c>
      <c r="L383" s="17">
        <f t="shared" si="78"/>
        <v>7.1354959926816799E-2</v>
      </c>
      <c r="M383" s="17">
        <f t="shared" si="78"/>
        <v>4.1126375296646304E-2</v>
      </c>
    </row>
    <row r="384" spans="6:13" x14ac:dyDescent="0.2">
      <c r="F384">
        <v>990</v>
      </c>
      <c r="G384">
        <f t="shared" si="75"/>
        <v>0.99</v>
      </c>
      <c r="H384">
        <f t="shared" si="76"/>
        <v>717</v>
      </c>
      <c r="I384" s="17">
        <f t="shared" si="78"/>
        <v>3.0169403892617849E-2</v>
      </c>
      <c r="J384" s="17">
        <f t="shared" si="78"/>
        <v>3.2633998829320339E-2</v>
      </c>
      <c r="K384" s="17">
        <f t="shared" si="78"/>
        <v>5.4184428315846141E-2</v>
      </c>
      <c r="L384" s="17">
        <f t="shared" si="78"/>
        <v>7.1395107194712204E-2</v>
      </c>
      <c r="M384" s="17">
        <f t="shared" si="78"/>
        <v>4.1139037848392811E-2</v>
      </c>
    </row>
    <row r="385" spans="6:13" x14ac:dyDescent="0.2">
      <c r="F385">
        <v>991</v>
      </c>
      <c r="G385">
        <f t="shared" si="75"/>
        <v>0.99099999999999999</v>
      </c>
      <c r="H385">
        <f t="shared" si="76"/>
        <v>718</v>
      </c>
      <c r="I385" s="17">
        <f t="shared" si="78"/>
        <v>3.0172853892931752E-2</v>
      </c>
      <c r="J385" s="17">
        <f t="shared" si="78"/>
        <v>3.2639797970628839E-2</v>
      </c>
      <c r="K385" s="17">
        <f t="shared" si="78"/>
        <v>5.4196548143695129E-2</v>
      </c>
      <c r="L385" s="17">
        <f t="shared" si="78"/>
        <v>7.1435208482835383E-2</v>
      </c>
      <c r="M385" s="17">
        <f t="shared" si="78"/>
        <v>4.1151699445249219E-2</v>
      </c>
    </row>
    <row r="386" spans="6:13" x14ac:dyDescent="0.2">
      <c r="F386">
        <v>992</v>
      </c>
      <c r="G386">
        <f t="shared" si="75"/>
        <v>0.99199999999999999</v>
      </c>
      <c r="H386">
        <f t="shared" si="76"/>
        <v>719</v>
      </c>
      <c r="I386" s="17">
        <f t="shared" si="78"/>
        <v>3.0176309284985978E-2</v>
      </c>
      <c r="J386" s="17">
        <f t="shared" si="78"/>
        <v>3.2645591341787412E-2</v>
      </c>
      <c r="K386" s="17">
        <f t="shared" si="78"/>
        <v>5.4208646999893764E-2</v>
      </c>
      <c r="L386" s="17">
        <f t="shared" si="78"/>
        <v>7.1475263809281347E-2</v>
      </c>
      <c r="M386" s="17">
        <f t="shared" si="78"/>
        <v>4.1164360069940939E-2</v>
      </c>
    </row>
    <row r="387" spans="6:13" x14ac:dyDescent="0.2">
      <c r="F387">
        <v>993</v>
      </c>
      <c r="G387">
        <f t="shared" si="75"/>
        <v>0.99299999999999999</v>
      </c>
      <c r="H387">
        <f t="shared" si="76"/>
        <v>720</v>
      </c>
      <c r="I387" s="17">
        <f t="shared" ref="I387:M396" si="79">(I$159+I$160*$G387+I$161*($G387^2)+I$162*($G387^3)+I$163/($G387^2))/1000</f>
        <v>3.0179770056114594E-2</v>
      </c>
      <c r="J387" s="17">
        <f t="shared" si="79"/>
        <v>3.2651378937800152E-2</v>
      </c>
      <c r="K387" s="17">
        <f t="shared" si="79"/>
        <v>5.4220724935554687E-2</v>
      </c>
      <c r="L387" s="17">
        <f t="shared" si="79"/>
        <v>7.1515273192231069E-2</v>
      </c>
      <c r="M387" s="17">
        <f t="shared" si="79"/>
        <v>4.1177019705203773E-2</v>
      </c>
    </row>
    <row r="388" spans="6:13" x14ac:dyDescent="0.2">
      <c r="F388">
        <v>994</v>
      </c>
      <c r="G388">
        <f t="shared" si="75"/>
        <v>0.99399999999999999</v>
      </c>
      <c r="H388">
        <f t="shared" si="76"/>
        <v>721</v>
      </c>
      <c r="I388" s="17">
        <f t="shared" si="79"/>
        <v>3.0183236193631759E-2</v>
      </c>
      <c r="J388" s="17">
        <f t="shared" si="79"/>
        <v>3.2657160753737556E-2</v>
      </c>
      <c r="K388" s="17">
        <f t="shared" si="79"/>
        <v>5.4232782001773346E-2</v>
      </c>
      <c r="L388" s="17">
        <f t="shared" si="79"/>
        <v>7.1555236649950948E-2</v>
      </c>
      <c r="M388" s="17">
        <f t="shared" si="79"/>
        <v>4.1189678333783897E-2</v>
      </c>
    </row>
    <row r="389" spans="6:13" x14ac:dyDescent="0.2">
      <c r="F389">
        <v>995</v>
      </c>
      <c r="G389">
        <f t="shared" si="75"/>
        <v>0.995</v>
      </c>
      <c r="H389">
        <f t="shared" si="76"/>
        <v>722</v>
      </c>
      <c r="I389" s="17">
        <f t="shared" si="79"/>
        <v>3.0186707684831768E-2</v>
      </c>
      <c r="J389" s="17">
        <f t="shared" si="79"/>
        <v>3.2662936784736203E-2</v>
      </c>
      <c r="K389" s="17">
        <f t="shared" si="79"/>
        <v>5.4244818249628055E-2</v>
      </c>
      <c r="L389" s="17">
        <f t="shared" si="79"/>
        <v>7.1595154200792308E-2</v>
      </c>
      <c r="M389" s="17">
        <f t="shared" si="79"/>
        <v>4.1202335938437737E-2</v>
      </c>
    </row>
    <row r="390" spans="6:13" x14ac:dyDescent="0.2">
      <c r="F390">
        <v>996</v>
      </c>
      <c r="G390">
        <f t="shared" si="75"/>
        <v>0.996</v>
      </c>
      <c r="H390">
        <f t="shared" si="76"/>
        <v>723</v>
      </c>
      <c r="I390" s="17">
        <f t="shared" si="79"/>
        <v>3.0190184516989158E-2</v>
      </c>
      <c r="J390" s="17">
        <f t="shared" si="79"/>
        <v>3.2668707025998264E-2</v>
      </c>
      <c r="K390" s="17">
        <f t="shared" si="79"/>
        <v>5.4256833730180164E-2</v>
      </c>
      <c r="L390" s="17">
        <f t="shared" si="79"/>
        <v>7.1635025863190954E-2</v>
      </c>
      <c r="M390" s="17">
        <f t="shared" si="79"/>
        <v>4.1214992501931946E-2</v>
      </c>
    </row>
    <row r="391" spans="6:13" x14ac:dyDescent="0.2">
      <c r="F391">
        <v>997</v>
      </c>
      <c r="G391">
        <f t="shared" si="75"/>
        <v>0.997</v>
      </c>
      <c r="H391">
        <f t="shared" si="76"/>
        <v>724</v>
      </c>
      <c r="I391" s="17">
        <f t="shared" si="79"/>
        <v>3.0193666677358892E-2</v>
      </c>
      <c r="J391" s="17">
        <f t="shared" si="79"/>
        <v>3.2674471472791185E-2</v>
      </c>
      <c r="K391" s="17">
        <f t="shared" si="79"/>
        <v>5.4268828494474106E-2</v>
      </c>
      <c r="L391" s="17">
        <f t="shared" si="79"/>
        <v>7.167485165566656E-2</v>
      </c>
      <c r="M391" s="17">
        <f t="shared" si="79"/>
        <v>4.1227648007043358E-2</v>
      </c>
    </row>
    <row r="392" spans="6:13" x14ac:dyDescent="0.2">
      <c r="F392">
        <v>998</v>
      </c>
      <c r="G392">
        <f t="shared" si="75"/>
        <v>0.998</v>
      </c>
      <c r="H392">
        <f t="shared" si="76"/>
        <v>725</v>
      </c>
      <c r="I392" s="17">
        <f t="shared" si="79"/>
        <v>3.019715415317642E-2</v>
      </c>
      <c r="J392" s="17">
        <f t="shared" si="79"/>
        <v>3.2680230120447275E-2</v>
      </c>
      <c r="K392" s="17">
        <f t="shared" si="79"/>
        <v>5.4280802593537528E-2</v>
      </c>
      <c r="L392" s="17">
        <f t="shared" si="79"/>
        <v>7.1714631596822204E-2</v>
      </c>
      <c r="M392" s="17">
        <f t="shared" si="79"/>
        <v>4.1240302436558872E-2</v>
      </c>
    </row>
    <row r="393" spans="6:13" x14ac:dyDescent="0.2">
      <c r="F393">
        <v>999</v>
      </c>
      <c r="G393">
        <f t="shared" si="75"/>
        <v>0.999</v>
      </c>
      <c r="H393">
        <f t="shared" si="76"/>
        <v>726</v>
      </c>
      <c r="I393" s="17">
        <f t="shared" si="79"/>
        <v>3.0200646931657846E-2</v>
      </c>
      <c r="J393" s="17">
        <f t="shared" si="79"/>
        <v>3.2685982964363258E-2</v>
      </c>
      <c r="K393" s="17">
        <f t="shared" si="79"/>
        <v>5.4292756078381375E-2</v>
      </c>
      <c r="L393" s="17">
        <f t="shared" si="79"/>
        <v>7.1754365705343853E-2</v>
      </c>
      <c r="M393" s="17">
        <f t="shared" si="79"/>
        <v>4.1252955773275451E-2</v>
      </c>
    </row>
    <row r="394" spans="6:13" x14ac:dyDescent="0.2">
      <c r="F394">
        <v>1000</v>
      </c>
      <c r="G394">
        <f t="shared" si="75"/>
        <v>1</v>
      </c>
      <c r="H394">
        <f t="shared" si="76"/>
        <v>727</v>
      </c>
      <c r="I394" s="17">
        <f t="shared" si="79"/>
        <v>3.0204145000000005E-2</v>
      </c>
      <c r="J394" s="17">
        <f t="shared" si="79"/>
        <v>3.2691730000000002E-2</v>
      </c>
      <c r="K394" s="17">
        <f t="shared" si="79"/>
        <v>5.4304689000000003E-2</v>
      </c>
      <c r="L394" s="17">
        <f t="shared" si="79"/>
        <v>7.1794053999999996E-2</v>
      </c>
      <c r="M394" s="17">
        <f t="shared" si="79"/>
        <v>4.1265608000000002E-2</v>
      </c>
    </row>
    <row r="395" spans="6:13" x14ac:dyDescent="0.2">
      <c r="F395">
        <v>1001</v>
      </c>
      <c r="G395">
        <f t="shared" si="75"/>
        <v>1.0009999999999999</v>
      </c>
      <c r="H395">
        <f t="shared" si="76"/>
        <v>728</v>
      </c>
      <c r="I395" s="17">
        <f t="shared" si="79"/>
        <v>3.0207648345380568E-2</v>
      </c>
      <c r="J395" s="17">
        <f t="shared" si="79"/>
        <v>3.2697471222882024E-2</v>
      </c>
      <c r="K395" s="17">
        <f t="shared" si="79"/>
        <v>5.4316601409371258E-2</v>
      </c>
      <c r="L395" s="17">
        <f t="shared" si="79"/>
        <v>7.1833696499640942E-2</v>
      </c>
      <c r="M395" s="17">
        <f t="shared" si="79"/>
        <v>4.1278259099549373E-2</v>
      </c>
    </row>
    <row r="396" spans="6:13" x14ac:dyDescent="0.2">
      <c r="F396">
        <v>1002</v>
      </c>
      <c r="G396">
        <f t="shared" si="75"/>
        <v>1.002</v>
      </c>
      <c r="H396">
        <f t="shared" si="76"/>
        <v>729</v>
      </c>
      <c r="I396" s="17">
        <f t="shared" si="79"/>
        <v>3.0211156954958209E-2</v>
      </c>
      <c r="J396" s="17">
        <f t="shared" si="79"/>
        <v>3.2703206628597145E-2</v>
      </c>
      <c r="K396" s="17">
        <f t="shared" si="79"/>
        <v>5.4328493357456611E-2</v>
      </c>
      <c r="L396" s="17">
        <f t="shared" si="79"/>
        <v>7.1873293223198381E-2</v>
      </c>
      <c r="M396" s="17">
        <f t="shared" si="79"/>
        <v>4.1290909054750267E-2</v>
      </c>
    </row>
    <row r="397" spans="6:13" x14ac:dyDescent="0.2">
      <c r="F397">
        <v>1003</v>
      </c>
      <c r="G397">
        <f t="shared" si="75"/>
        <v>1.0029999999999999</v>
      </c>
      <c r="H397">
        <f t="shared" si="76"/>
        <v>730</v>
      </c>
      <c r="I397" s="17">
        <f t="shared" ref="I397:M406" si="80">(I$159+I$160*$G397+I$161*($G397^2)+I$162*($G397^3)+I$163/($G397^2))/1000</f>
        <v>3.0214670815872681E-2</v>
      </c>
      <c r="J397" s="17">
        <f t="shared" si="80"/>
        <v>3.2708936212796171E-2</v>
      </c>
      <c r="K397" s="17">
        <f t="shared" si="80"/>
        <v>5.4340364895201221E-2</v>
      </c>
      <c r="L397" s="17">
        <f t="shared" si="80"/>
        <v>7.1912844189685091E-2</v>
      </c>
      <c r="M397" s="17">
        <f t="shared" si="80"/>
        <v>4.1303557848439171E-2</v>
      </c>
    </row>
    <row r="398" spans="6:13" x14ac:dyDescent="0.2">
      <c r="F398">
        <v>1004</v>
      </c>
      <c r="G398">
        <f t="shared" si="75"/>
        <v>1.004</v>
      </c>
      <c r="H398">
        <f t="shared" si="76"/>
        <v>731</v>
      </c>
      <c r="I398" s="17">
        <f t="shared" si="80"/>
        <v>3.0218189915244928E-2</v>
      </c>
      <c r="J398" s="17">
        <f t="shared" si="80"/>
        <v>3.2714659971192425E-2</v>
      </c>
      <c r="K398" s="17">
        <f t="shared" si="80"/>
        <v>5.4352216073534035E-2</v>
      </c>
      <c r="L398" s="17">
        <f t="shared" si="80"/>
        <v>7.19523494181942E-2</v>
      </c>
      <c r="M398" s="17">
        <f t="shared" si="80"/>
        <v>4.1316205463462333E-2</v>
      </c>
    </row>
    <row r="399" spans="6:13" x14ac:dyDescent="0.2">
      <c r="F399">
        <v>1005</v>
      </c>
      <c r="G399">
        <f t="shared" si="75"/>
        <v>1.0049999999999999</v>
      </c>
      <c r="H399">
        <f t="shared" si="76"/>
        <v>732</v>
      </c>
      <c r="I399" s="17">
        <f t="shared" si="80"/>
        <v>3.0221714240177215E-2</v>
      </c>
      <c r="J399" s="17">
        <f t="shared" si="80"/>
        <v>3.272037789956142E-2</v>
      </c>
      <c r="K399" s="17">
        <f t="shared" si="80"/>
        <v>5.4364046943367939E-2</v>
      </c>
      <c r="L399" s="17">
        <f t="shared" si="80"/>
        <v>7.1991808927898873E-2</v>
      </c>
      <c r="M399" s="17">
        <f t="shared" si="80"/>
        <v>4.1328851882675641E-2</v>
      </c>
    </row>
    <row r="400" spans="6:13" x14ac:dyDescent="0.2">
      <c r="F400">
        <v>1006</v>
      </c>
      <c r="G400">
        <f t="shared" si="75"/>
        <v>1.006</v>
      </c>
      <c r="H400">
        <f t="shared" si="76"/>
        <v>733</v>
      </c>
      <c r="I400" s="17">
        <f t="shared" si="80"/>
        <v>3.0225243777753218E-2</v>
      </c>
      <c r="J400" s="17">
        <f t="shared" si="80"/>
        <v>3.2726089993740486E-2</v>
      </c>
      <c r="K400" s="17">
        <f t="shared" si="80"/>
        <v>5.4375857555599739E-2</v>
      </c>
      <c r="L400" s="17">
        <f t="shared" si="80"/>
        <v>7.2031222738051723E-2</v>
      </c>
      <c r="M400" s="17">
        <f t="shared" si="80"/>
        <v>4.1341497088944676E-2</v>
      </c>
    </row>
    <row r="401" spans="6:13" x14ac:dyDescent="0.2">
      <c r="F401">
        <v>1007</v>
      </c>
      <c r="G401">
        <f t="shared" si="75"/>
        <v>1.0069999999999999</v>
      </c>
      <c r="H401">
        <f t="shared" si="76"/>
        <v>734</v>
      </c>
      <c r="I401" s="17">
        <f t="shared" si="80"/>
        <v>3.0228778515038166E-2</v>
      </c>
      <c r="J401" s="17">
        <f t="shared" si="80"/>
        <v>3.2731796249628409E-2</v>
      </c>
      <c r="K401" s="17">
        <f t="shared" si="80"/>
        <v>5.4387647961110411E-2</v>
      </c>
      <c r="L401" s="17">
        <f t="shared" si="80"/>
        <v>7.207059086798441E-2</v>
      </c>
      <c r="M401" s="17">
        <f t="shared" si="80"/>
        <v>4.1354141065144519E-2</v>
      </c>
    </row>
    <row r="402" spans="6:13" x14ac:dyDescent="0.2">
      <c r="F402">
        <v>1008</v>
      </c>
      <c r="G402">
        <f t="shared" si="75"/>
        <v>1.008</v>
      </c>
      <c r="H402">
        <f t="shared" si="76"/>
        <v>735</v>
      </c>
      <c r="I402" s="17">
        <f t="shared" si="80"/>
        <v>3.0232318439078924E-2</v>
      </c>
      <c r="J402" s="17">
        <f t="shared" si="80"/>
        <v>3.2737496663185053E-2</v>
      </c>
      <c r="K402" s="17">
        <f t="shared" si="80"/>
        <v>5.4399418210765035E-2</v>
      </c>
      <c r="L402" s="17">
        <f t="shared" si="80"/>
        <v>7.2109913337107173E-2</v>
      </c>
      <c r="M402" s="17">
        <f t="shared" si="80"/>
        <v>4.136678379415977E-2</v>
      </c>
    </row>
    <row r="403" spans="6:13" x14ac:dyDescent="0.2">
      <c r="F403">
        <v>1009</v>
      </c>
      <c r="G403">
        <f t="shared" si="75"/>
        <v>1.0089999999999999</v>
      </c>
      <c r="H403">
        <f t="shared" si="76"/>
        <v>736</v>
      </c>
      <c r="I403" s="17">
        <f t="shared" si="80"/>
        <v>3.0235863536904085E-2</v>
      </c>
      <c r="J403" s="17">
        <f t="shared" si="80"/>
        <v>3.2743191230430985E-2</v>
      </c>
      <c r="K403" s="17">
        <f t="shared" si="80"/>
        <v>5.4411168355413028E-2</v>
      </c>
      <c r="L403" s="17">
        <f t="shared" si="80"/>
        <v>7.2149190164908325E-2</v>
      </c>
      <c r="M403" s="17">
        <f t="shared" si="80"/>
        <v>4.1379425258884515E-2</v>
      </c>
    </row>
    <row r="404" spans="6:13" x14ac:dyDescent="0.2">
      <c r="F404">
        <v>1010</v>
      </c>
      <c r="G404">
        <f t="shared" si="75"/>
        <v>1.01</v>
      </c>
      <c r="H404">
        <f t="shared" si="76"/>
        <v>737</v>
      </c>
      <c r="I404" s="17">
        <f t="shared" si="80"/>
        <v>3.0239413795524139E-2</v>
      </c>
      <c r="J404" s="17">
        <f t="shared" si="80"/>
        <v>3.2748879947447143E-2</v>
      </c>
      <c r="K404" s="17">
        <f t="shared" si="80"/>
        <v>5.4422898445888136E-2</v>
      </c>
      <c r="L404" s="17">
        <f t="shared" si="80"/>
        <v>7.2188421370953812E-2</v>
      </c>
      <c r="M404" s="17">
        <f t="shared" si="80"/>
        <v>4.139206544222223E-2</v>
      </c>
    </row>
    <row r="405" spans="6:13" x14ac:dyDescent="0.2">
      <c r="F405">
        <v>1011</v>
      </c>
      <c r="G405">
        <f t="shared" si="75"/>
        <v>1.0109999999999999</v>
      </c>
      <c r="H405">
        <f t="shared" si="76"/>
        <v>738</v>
      </c>
      <c r="I405" s="17">
        <f t="shared" si="80"/>
        <v>3.0242969201931532E-2</v>
      </c>
      <c r="J405" s="17">
        <f t="shared" si="80"/>
        <v>3.2754562810374442E-2</v>
      </c>
      <c r="K405" s="17">
        <f t="shared" si="80"/>
        <v>5.4434608533008591E-2</v>
      </c>
      <c r="L405" s="17">
        <f t="shared" si="80"/>
        <v>7.2227606974886727E-2</v>
      </c>
      <c r="M405" s="17">
        <f t="shared" si="80"/>
        <v>4.1404704327085706E-2</v>
      </c>
    </row>
    <row r="406" spans="6:13" x14ac:dyDescent="0.2">
      <c r="F406">
        <v>1012</v>
      </c>
      <c r="G406">
        <f t="shared" si="75"/>
        <v>1.012</v>
      </c>
      <c r="H406">
        <f t="shared" si="76"/>
        <v>739</v>
      </c>
      <c r="I406" s="17">
        <f t="shared" si="80"/>
        <v>3.0246529743100787E-2</v>
      </c>
      <c r="J406" s="17">
        <f t="shared" si="80"/>
        <v>3.2760239815413483E-2</v>
      </c>
      <c r="K406" s="17">
        <f t="shared" si="80"/>
        <v>5.444629866757715E-2</v>
      </c>
      <c r="L406" s="17">
        <f t="shared" si="80"/>
        <v>7.226674699642692E-2</v>
      </c>
      <c r="M406" s="17">
        <f t="shared" si="80"/>
        <v>4.1417341896397022E-2</v>
      </c>
    </row>
    <row r="407" spans="6:13" x14ac:dyDescent="0.2">
      <c r="F407">
        <v>1013</v>
      </c>
      <c r="G407">
        <f t="shared" si="75"/>
        <v>1.0129999999999999</v>
      </c>
      <c r="H407">
        <f t="shared" si="76"/>
        <v>740</v>
      </c>
      <c r="I407" s="17">
        <f t="shared" ref="I407:M416" si="81">(I$159+I$160*$G407+I$161*($G407^2)+I$162*($G407^3)+I$163/($G407^2))/1000</f>
        <v>3.0250095405988602E-2</v>
      </c>
      <c r="J407" s="17">
        <f t="shared" si="81"/>
        <v>3.276591095882412E-2</v>
      </c>
      <c r="K407" s="17">
        <f t="shared" si="81"/>
        <v>5.4457968900381244E-2</v>
      </c>
      <c r="L407" s="17">
        <f t="shared" si="81"/>
        <v>7.230584145537039E-2</v>
      </c>
      <c r="M407" s="17">
        <f t="shared" si="81"/>
        <v>4.1429978133087512E-2</v>
      </c>
    </row>
    <row r="408" spans="6:13" x14ac:dyDescent="0.2">
      <c r="F408">
        <v>1014</v>
      </c>
      <c r="G408">
        <f t="shared" si="75"/>
        <v>1.014</v>
      </c>
      <c r="H408">
        <f t="shared" si="76"/>
        <v>741</v>
      </c>
      <c r="I408" s="17">
        <f t="shared" si="81"/>
        <v>3.0253666177533969E-2</v>
      </c>
      <c r="J408" s="17">
        <f t="shared" si="81"/>
        <v>3.277157623692515E-2</v>
      </c>
      <c r="K408" s="17">
        <f t="shared" si="81"/>
        <v>5.4469619282193023E-2</v>
      </c>
      <c r="L408" s="17">
        <f t="shared" si="81"/>
        <v>7.2344890371589102E-2</v>
      </c>
      <c r="M408" s="17">
        <f t="shared" si="81"/>
        <v>4.1442613020097677E-2</v>
      </c>
    </row>
    <row r="409" spans="6:13" x14ac:dyDescent="0.2">
      <c r="F409">
        <v>1015</v>
      </c>
      <c r="G409">
        <f t="shared" si="75"/>
        <v>1.0149999999999999</v>
      </c>
      <c r="H409">
        <f t="shared" si="76"/>
        <v>742</v>
      </c>
      <c r="I409" s="17">
        <f t="shared" si="81"/>
        <v>3.0257242044658256E-2</v>
      </c>
      <c r="J409" s="17">
        <f t="shared" si="81"/>
        <v>3.2777235646093986E-2</v>
      </c>
      <c r="K409" s="17">
        <f t="shared" si="81"/>
        <v>5.4481249863769482E-2</v>
      </c>
      <c r="L409" s="17">
        <f t="shared" si="81"/>
        <v>7.2383893765030252E-2</v>
      </c>
      <c r="M409" s="17">
        <f t="shared" si="81"/>
        <v>4.1455246540377133E-2</v>
      </c>
    </row>
    <row r="410" spans="6:13" x14ac:dyDescent="0.2">
      <c r="F410">
        <v>1016</v>
      </c>
      <c r="G410">
        <f t="shared" si="75"/>
        <v>1.016</v>
      </c>
      <c r="H410">
        <f t="shared" si="76"/>
        <v>743</v>
      </c>
      <c r="I410" s="17">
        <f t="shared" si="81"/>
        <v>3.0260822994265361E-2</v>
      </c>
      <c r="J410" s="17">
        <f t="shared" si="81"/>
        <v>3.2782889182766242E-2</v>
      </c>
      <c r="K410" s="17">
        <f t="shared" si="81"/>
        <v>5.4492860695852491E-2</v>
      </c>
      <c r="L410" s="17">
        <f t="shared" si="81"/>
        <v>7.2422851655715964E-2</v>
      </c>
      <c r="M410" s="17">
        <f t="shared" si="81"/>
        <v>4.1467878676884548E-2</v>
      </c>
    </row>
    <row r="411" spans="6:13" x14ac:dyDescent="0.2">
      <c r="F411">
        <v>1017</v>
      </c>
      <c r="G411">
        <f t="shared" si="75"/>
        <v>1.0169999999999999</v>
      </c>
      <c r="H411">
        <f t="shared" si="76"/>
        <v>744</v>
      </c>
      <c r="I411" s="17">
        <f t="shared" si="81"/>
        <v>3.026440901324174E-2</v>
      </c>
      <c r="J411" s="17">
        <f t="shared" si="81"/>
        <v>3.2788536843435488E-2</v>
      </c>
      <c r="K411" s="17">
        <f t="shared" si="81"/>
        <v>5.4504451829168986E-2</v>
      </c>
      <c r="L411" s="17">
        <f t="shared" si="81"/>
        <v>7.246176406374287E-2</v>
      </c>
      <c r="M411" s="17">
        <f t="shared" si="81"/>
        <v>4.148050941258765E-2</v>
      </c>
    </row>
    <row r="412" spans="6:13" x14ac:dyDescent="0.2">
      <c r="F412">
        <v>1018</v>
      </c>
      <c r="G412">
        <f t="shared" si="75"/>
        <v>1.018</v>
      </c>
      <c r="H412">
        <f t="shared" si="76"/>
        <v>745</v>
      </c>
      <c r="I412" s="17">
        <f t="shared" si="81"/>
        <v>3.0268000088456582E-2</v>
      </c>
      <c r="J412" s="17">
        <f t="shared" si="81"/>
        <v>3.2794178624652823E-2</v>
      </c>
      <c r="K412" s="17">
        <f t="shared" si="81"/>
        <v>5.4516023314430936E-2</v>
      </c>
      <c r="L412" s="17">
        <f t="shared" si="81"/>
        <v>7.2500631009281613E-2</v>
      </c>
      <c r="M412" s="17">
        <f t="shared" si="81"/>
        <v>4.1493138730463085E-2</v>
      </c>
    </row>
    <row r="413" spans="6:13" x14ac:dyDescent="0.2">
      <c r="F413">
        <v>1019</v>
      </c>
      <c r="G413">
        <f t="shared" si="75"/>
        <v>1.0189999999999999</v>
      </c>
      <c r="H413">
        <f t="shared" si="76"/>
        <v>746</v>
      </c>
      <c r="I413" s="17">
        <f t="shared" si="81"/>
        <v>3.0271596206761859E-2</v>
      </c>
      <c r="J413" s="17">
        <f t="shared" si="81"/>
        <v>3.2799814523026563E-2</v>
      </c>
      <c r="K413" s="17">
        <f t="shared" si="81"/>
        <v>5.4527575202335525E-2</v>
      </c>
      <c r="L413" s="17">
        <f t="shared" si="81"/>
        <v>7.2539452512576444E-2</v>
      </c>
      <c r="M413" s="17">
        <f t="shared" si="81"/>
        <v>4.1505766613496427E-2</v>
      </c>
    </row>
    <row r="414" spans="6:13" x14ac:dyDescent="0.2">
      <c r="F414">
        <v>1020</v>
      </c>
      <c r="G414">
        <f t="shared" si="75"/>
        <v>1.02</v>
      </c>
      <c r="H414">
        <f t="shared" si="76"/>
        <v>747</v>
      </c>
      <c r="I414" s="17">
        <f t="shared" si="81"/>
        <v>3.027519735499247E-2</v>
      </c>
      <c r="J414" s="17">
        <f t="shared" si="81"/>
        <v>3.2805444535221946E-2</v>
      </c>
      <c r="K414" s="17">
        <f t="shared" si="81"/>
        <v>5.453910754356521E-2</v>
      </c>
      <c r="L414" s="17">
        <f t="shared" si="81"/>
        <v>7.2578228593944763E-2</v>
      </c>
      <c r="M414" s="17">
        <f t="shared" si="81"/>
        <v>4.1518393044682113E-2</v>
      </c>
    </row>
    <row r="415" spans="6:13" x14ac:dyDescent="0.2">
      <c r="F415">
        <v>1021</v>
      </c>
      <c r="G415">
        <f t="shared" si="75"/>
        <v>1.0209999999999999</v>
      </c>
      <c r="H415">
        <f t="shared" si="76"/>
        <v>748</v>
      </c>
      <c r="I415" s="17">
        <f t="shared" si="81"/>
        <v>3.0278803519966289E-2</v>
      </c>
      <c r="J415" s="17">
        <f t="shared" si="81"/>
        <v>3.2811068657960699E-2</v>
      </c>
      <c r="K415" s="17">
        <f t="shared" si="81"/>
        <v>5.4550620388787746E-2</v>
      </c>
      <c r="L415" s="17">
        <f t="shared" si="81"/>
        <v>7.2616959273776677E-2</v>
      </c>
      <c r="M415" s="17">
        <f t="shared" si="81"/>
        <v>4.153101800702335E-2</v>
      </c>
    </row>
    <row r="416" spans="6:13" x14ac:dyDescent="0.2">
      <c r="F416">
        <v>1022</v>
      </c>
      <c r="G416">
        <f t="shared" si="75"/>
        <v>1.022</v>
      </c>
      <c r="H416">
        <f t="shared" si="76"/>
        <v>749</v>
      </c>
      <c r="I416" s="17">
        <f t="shared" si="81"/>
        <v>3.0282414688484319E-2</v>
      </c>
      <c r="J416" s="17">
        <f t="shared" si="81"/>
        <v>3.2816686888020828E-2</v>
      </c>
      <c r="K416" s="17">
        <f t="shared" si="81"/>
        <v>5.4562113788656434E-2</v>
      </c>
      <c r="L416" s="17">
        <f t="shared" si="81"/>
        <v>7.265564457253465E-2</v>
      </c>
      <c r="M416" s="17">
        <f t="shared" si="81"/>
        <v>4.1543641483532151E-2</v>
      </c>
    </row>
    <row r="417" spans="6:13" x14ac:dyDescent="0.2">
      <c r="F417">
        <v>1023</v>
      </c>
      <c r="G417">
        <f t="shared" si="75"/>
        <v>1.0229999999999999</v>
      </c>
      <c r="H417">
        <f t="shared" si="76"/>
        <v>750</v>
      </c>
      <c r="I417" s="17">
        <f t="shared" ref="I417:M426" si="82">(I$159+I$160*$G417+I$161*($G417^2)+I$162*($G417^3)+I$163/($G417^2))/1000</f>
        <v>3.0286030847330742E-2</v>
      </c>
      <c r="J417" s="17">
        <f t="shared" si="82"/>
        <v>3.2822299222236208E-2</v>
      </c>
      <c r="K417" s="17">
        <f t="shared" si="82"/>
        <v>5.4573587793809962E-2</v>
      </c>
      <c r="L417" s="17">
        <f t="shared" si="82"/>
        <v>7.2694284510753021E-2</v>
      </c>
      <c r="M417" s="17">
        <f t="shared" si="82"/>
        <v>4.1556263457229181E-2</v>
      </c>
    </row>
    <row r="418" spans="6:13" x14ac:dyDescent="0.2">
      <c r="F418">
        <v>1024</v>
      </c>
      <c r="G418">
        <f t="shared" si="75"/>
        <v>1.024</v>
      </c>
      <c r="H418">
        <f t="shared" si="76"/>
        <v>751</v>
      </c>
      <c r="I418" s="17">
        <f t="shared" si="82"/>
        <v>3.0289651983273082E-2</v>
      </c>
      <c r="J418" s="17">
        <f t="shared" si="82"/>
        <v>3.2827905657496277E-2</v>
      </c>
      <c r="K418" s="17">
        <f t="shared" si="82"/>
        <v>5.4585042454872779E-2</v>
      </c>
      <c r="L418" s="17">
        <f t="shared" si="82"/>
        <v>7.2732879109037529E-2</v>
      </c>
      <c r="M418" s="17">
        <f t="shared" si="82"/>
        <v>4.1568883911143766E-2</v>
      </c>
    </row>
    <row r="419" spans="6:13" x14ac:dyDescent="0.2">
      <c r="F419">
        <v>1025</v>
      </c>
      <c r="G419">
        <f t="shared" si="75"/>
        <v>1.0249999999999999</v>
      </c>
      <c r="H419">
        <f t="shared" si="76"/>
        <v>752</v>
      </c>
      <c r="I419" s="17">
        <f t="shared" si="82"/>
        <v>3.0293278083062227E-2</v>
      </c>
      <c r="J419" s="17">
        <f t="shared" si="82"/>
        <v>3.2833506190745688E-2</v>
      </c>
      <c r="K419" s="17">
        <f t="shared" si="82"/>
        <v>5.4596477822454886E-2</v>
      </c>
      <c r="L419" s="17">
        <f t="shared" si="82"/>
        <v>7.2771428388065038E-2</v>
      </c>
      <c r="M419" s="17">
        <f t="shared" si="82"/>
        <v>4.1581502828313882E-2</v>
      </c>
    </row>
    <row r="420" spans="6:13" x14ac:dyDescent="0.2">
      <c r="F420">
        <v>1026</v>
      </c>
      <c r="G420">
        <f t="shared" si="75"/>
        <v>1.026</v>
      </c>
      <c r="H420">
        <f t="shared" si="76"/>
        <v>753</v>
      </c>
      <c r="I420" s="17">
        <f t="shared" si="82"/>
        <v>3.029690913343256E-2</v>
      </c>
      <c r="J420" s="17">
        <f t="shared" si="82"/>
        <v>3.2839100818984043E-2</v>
      </c>
      <c r="K420" s="17">
        <f t="shared" si="82"/>
        <v>5.4607893947152188E-2</v>
      </c>
      <c r="L420" s="17">
        <f t="shared" si="82"/>
        <v>7.2809932368583005E-2</v>
      </c>
      <c r="M420" s="17">
        <f t="shared" si="82"/>
        <v>4.1594120191785967E-2</v>
      </c>
    </row>
    <row r="421" spans="6:13" x14ac:dyDescent="0.2">
      <c r="F421">
        <v>1027</v>
      </c>
      <c r="G421">
        <f t="shared" si="75"/>
        <v>1.0269999999999999</v>
      </c>
      <c r="H421">
        <f t="shared" si="76"/>
        <v>754</v>
      </c>
      <c r="I421" s="17">
        <f t="shared" si="82"/>
        <v>3.0300545121102081E-2</v>
      </c>
      <c r="J421" s="17">
        <f t="shared" si="82"/>
        <v>3.2844689539265545E-2</v>
      </c>
      <c r="K421" s="17">
        <f t="shared" si="82"/>
        <v>5.4619290879546332E-2</v>
      </c>
      <c r="L421" s="17">
        <f t="shared" si="82"/>
        <v>7.2848391071409072E-2</v>
      </c>
      <c r="M421" s="17">
        <f t="shared" si="82"/>
        <v>4.1606735984615027E-2</v>
      </c>
    </row>
    <row r="422" spans="6:13" x14ac:dyDescent="0.2">
      <c r="F422">
        <v>1028</v>
      </c>
      <c r="G422">
        <f t="shared" si="75"/>
        <v>1.028</v>
      </c>
      <c r="H422">
        <f t="shared" si="76"/>
        <v>755</v>
      </c>
      <c r="I422" s="17">
        <f t="shared" si="82"/>
        <v>3.0304186032772476E-2</v>
      </c>
      <c r="J422" s="17">
        <f t="shared" si="82"/>
        <v>3.2850272348698625E-2</v>
      </c>
      <c r="K422" s="17">
        <f t="shared" si="82"/>
        <v>5.4630668670205031E-2</v>
      </c>
      <c r="L422" s="17">
        <f t="shared" si="82"/>
        <v>7.2886804517430737E-2</v>
      </c>
      <c r="M422" s="17">
        <f t="shared" si="82"/>
        <v>4.1619350189864492E-2</v>
      </c>
    </row>
    <row r="423" spans="6:13" x14ac:dyDescent="0.2">
      <c r="F423">
        <v>1029</v>
      </c>
      <c r="G423">
        <f t="shared" ref="G423:G486" si="83">F423/1000</f>
        <v>1.0289999999999999</v>
      </c>
      <c r="H423">
        <f t="shared" si="76"/>
        <v>756</v>
      </c>
      <c r="I423" s="17">
        <f t="shared" si="82"/>
        <v>3.030783185512919E-2</v>
      </c>
      <c r="J423" s="17">
        <f t="shared" si="82"/>
        <v>3.2855849244445713E-2</v>
      </c>
      <c r="K423" s="17">
        <f t="shared" si="82"/>
        <v>5.4642027369681906E-2</v>
      </c>
      <c r="L423" s="17">
        <f t="shared" si="82"/>
        <v>7.2925172727604862E-2</v>
      </c>
      <c r="M423" s="17">
        <f t="shared" si="82"/>
        <v>4.1631962790606193E-2</v>
      </c>
    </row>
    <row r="424" spans="6:13" x14ac:dyDescent="0.2">
      <c r="F424">
        <v>1030</v>
      </c>
      <c r="G424">
        <f t="shared" si="83"/>
        <v>1.03</v>
      </c>
      <c r="H424">
        <f t="shared" si="76"/>
        <v>757</v>
      </c>
      <c r="I424" s="17">
        <f t="shared" si="82"/>
        <v>3.0311482574841574E-2</v>
      </c>
      <c r="J424" s="17">
        <f t="shared" si="82"/>
        <v>3.2861420223722876E-2</v>
      </c>
      <c r="K424" s="17">
        <f t="shared" si="82"/>
        <v>5.4653367028516787E-2</v>
      </c>
      <c r="L424" s="17">
        <f t="shared" si="82"/>
        <v>7.2963495722957364E-2</v>
      </c>
      <c r="M424" s="17">
        <f t="shared" si="82"/>
        <v>4.1644573769920333E-2</v>
      </c>
    </row>
    <row r="425" spans="6:13" x14ac:dyDescent="0.2">
      <c r="F425">
        <v>1031</v>
      </c>
      <c r="G425">
        <f t="shared" si="83"/>
        <v>1.0309999999999999</v>
      </c>
      <c r="H425">
        <f t="shared" ref="H425:H488" si="84">F425-273</f>
        <v>758</v>
      </c>
      <c r="I425" s="17">
        <f t="shared" si="82"/>
        <v>3.0315138178562927E-2</v>
      </c>
      <c r="J425" s="17">
        <f t="shared" si="82"/>
        <v>3.2866985283799499E-2</v>
      </c>
      <c r="K425" s="17">
        <f t="shared" si="82"/>
        <v>5.4664687697235606E-2</v>
      </c>
      <c r="L425" s="17">
        <f t="shared" si="82"/>
        <v>7.3001773524582633E-2</v>
      </c>
      <c r="M425" s="17">
        <f t="shared" si="82"/>
        <v>4.1657183110895384E-2</v>
      </c>
    </row>
    <row r="426" spans="6:13" x14ac:dyDescent="0.2">
      <c r="F426">
        <v>1032</v>
      </c>
      <c r="G426">
        <f t="shared" si="83"/>
        <v>1.032</v>
      </c>
      <c r="H426">
        <f t="shared" si="84"/>
        <v>759</v>
      </c>
      <c r="I426" s="17">
        <f t="shared" si="82"/>
        <v>3.0318798652930631E-2</v>
      </c>
      <c r="J426" s="17">
        <f t="shared" si="82"/>
        <v>3.287254442199803E-2</v>
      </c>
      <c r="K426" s="17">
        <f t="shared" si="82"/>
        <v>5.4675989426350644E-2</v>
      </c>
      <c r="L426" s="17">
        <f t="shared" si="82"/>
        <v>7.3040006153643394E-2</v>
      </c>
      <c r="M426" s="17">
        <f t="shared" si="82"/>
        <v>4.1669790796628088E-2</v>
      </c>
    </row>
    <row r="427" spans="6:13" x14ac:dyDescent="0.2">
      <c r="F427">
        <v>1033</v>
      </c>
      <c r="G427">
        <f t="shared" si="83"/>
        <v>1.0329999999999999</v>
      </c>
      <c r="H427">
        <f t="shared" si="84"/>
        <v>760</v>
      </c>
      <c r="I427" s="17">
        <f t="shared" ref="I427:M436" si="85">(I$159+I$160*$G427+I$161*($G427^2)+I$162*($G427^3)+I$163/($G427^2))/1000</f>
        <v>3.0322463984566228E-2</v>
      </c>
      <c r="J427" s="17">
        <f t="shared" si="85"/>
        <v>3.2878097635693562E-2</v>
      </c>
      <c r="K427" s="17">
        <f t="shared" si="85"/>
        <v>5.4687272266360436E-2</v>
      </c>
      <c r="L427" s="17">
        <f t="shared" si="85"/>
        <v>7.3078193631370053E-2</v>
      </c>
      <c r="M427" s="17">
        <f t="shared" si="85"/>
        <v>4.1682396810223399E-2</v>
      </c>
    </row>
    <row r="428" spans="6:13" x14ac:dyDescent="0.2">
      <c r="F428">
        <v>1034</v>
      </c>
      <c r="G428">
        <f t="shared" si="83"/>
        <v>1.034</v>
      </c>
      <c r="H428">
        <f t="shared" si="84"/>
        <v>761</v>
      </c>
      <c r="I428" s="17">
        <f t="shared" si="85"/>
        <v>3.0326134160075499E-2</v>
      </c>
      <c r="J428" s="17">
        <f t="shared" si="85"/>
        <v>3.288364492231368E-2</v>
      </c>
      <c r="K428" s="17">
        <f t="shared" si="85"/>
        <v>5.469853626775005E-2</v>
      </c>
      <c r="L428" s="17">
        <f t="shared" si="85"/>
        <v>7.3116335979060504E-2</v>
      </c>
      <c r="M428" s="17">
        <f t="shared" si="85"/>
        <v>4.1695001134794421E-2</v>
      </c>
    </row>
    <row r="429" spans="6:13" x14ac:dyDescent="0.2">
      <c r="F429">
        <v>1035</v>
      </c>
      <c r="G429">
        <f t="shared" si="83"/>
        <v>1.0349999999999999</v>
      </c>
      <c r="H429">
        <f t="shared" si="84"/>
        <v>762</v>
      </c>
      <c r="I429" s="17">
        <f t="shared" si="85"/>
        <v>3.032980916604856E-2</v>
      </c>
      <c r="J429" s="17">
        <f t="shared" si="85"/>
        <v>3.2889186279338019E-2</v>
      </c>
      <c r="K429" s="17">
        <f t="shared" si="85"/>
        <v>5.4709781480990954E-2</v>
      </c>
      <c r="L429" s="17">
        <f t="shared" si="85"/>
        <v>7.3154433218079615E-2</v>
      </c>
      <c r="M429" s="17">
        <f t="shared" si="85"/>
        <v>4.1707603753462393E-2</v>
      </c>
    </row>
    <row r="430" spans="6:13" x14ac:dyDescent="0.2">
      <c r="F430">
        <v>1036</v>
      </c>
      <c r="G430">
        <f t="shared" si="83"/>
        <v>1.036</v>
      </c>
      <c r="H430">
        <f t="shared" si="84"/>
        <v>763</v>
      </c>
      <c r="I430" s="17">
        <f t="shared" si="85"/>
        <v>3.0333488989059961E-2</v>
      </c>
      <c r="J430" s="17">
        <f t="shared" si="85"/>
        <v>3.2894721704298024E-2</v>
      </c>
      <c r="K430" s="17">
        <f t="shared" si="85"/>
        <v>5.4721007956541313E-2</v>
      </c>
      <c r="L430" s="17">
        <f t="shared" si="85"/>
        <v>7.3192485369858923E-2</v>
      </c>
      <c r="M430" s="17">
        <f t="shared" si="85"/>
        <v>4.1720204649356586E-2</v>
      </c>
    </row>
    <row r="431" spans="6:13" x14ac:dyDescent="0.2">
      <c r="F431">
        <v>1037</v>
      </c>
      <c r="G431">
        <f t="shared" si="83"/>
        <v>1.0369999999999999</v>
      </c>
      <c r="H431">
        <f t="shared" si="84"/>
        <v>764</v>
      </c>
      <c r="I431" s="17">
        <f t="shared" si="85"/>
        <v>3.0337173615668799E-2</v>
      </c>
      <c r="J431" s="17">
        <f t="shared" si="85"/>
        <v>3.2900251194776672E-2</v>
      </c>
      <c r="K431" s="17">
        <f t="shared" si="85"/>
        <v>5.4732215744845825E-2</v>
      </c>
      <c r="L431" s="17">
        <f t="shared" si="85"/>
        <v>7.3230492455896148E-2</v>
      </c>
      <c r="M431" s="17">
        <f t="shared" si="85"/>
        <v>4.173280380561431E-2</v>
      </c>
    </row>
    <row r="432" spans="6:13" x14ac:dyDescent="0.2">
      <c r="F432">
        <v>1038</v>
      </c>
      <c r="G432">
        <f t="shared" si="83"/>
        <v>1.038</v>
      </c>
      <c r="H432">
        <f t="shared" si="84"/>
        <v>765</v>
      </c>
      <c r="I432" s="17">
        <f t="shared" si="85"/>
        <v>3.0340863032418758E-2</v>
      </c>
      <c r="J432" s="17">
        <f t="shared" si="85"/>
        <v>3.2905774748408119E-2</v>
      </c>
      <c r="K432" s="17">
        <f t="shared" si="85"/>
        <v>5.4743404896336022E-2</v>
      </c>
      <c r="L432" s="17">
        <f t="shared" si="85"/>
        <v>7.3268454497754876E-2</v>
      </c>
      <c r="M432" s="17">
        <f t="shared" si="85"/>
        <v>4.174540120538086E-2</v>
      </c>
    </row>
    <row r="433" spans="6:13" x14ac:dyDescent="0.2">
      <c r="F433">
        <v>1039</v>
      </c>
      <c r="G433">
        <f t="shared" si="83"/>
        <v>1.0389999999999999</v>
      </c>
      <c r="H433">
        <f t="shared" si="84"/>
        <v>766</v>
      </c>
      <c r="I433" s="17">
        <f t="shared" si="85"/>
        <v>3.0344557225838203E-2</v>
      </c>
      <c r="J433" s="17">
        <f t="shared" si="85"/>
        <v>3.2911292362877459E-2</v>
      </c>
      <c r="K433" s="17">
        <f t="shared" si="85"/>
        <v>5.4754575461430248E-2</v>
      </c>
      <c r="L433" s="17">
        <f t="shared" si="85"/>
        <v>7.3306371517064234E-2</v>
      </c>
      <c r="M433" s="17">
        <f t="shared" si="85"/>
        <v>4.1757996831809405E-2</v>
      </c>
    </row>
    <row r="434" spans="6:13" x14ac:dyDescent="0.2">
      <c r="F434">
        <v>1040</v>
      </c>
      <c r="G434">
        <f t="shared" si="83"/>
        <v>1.04</v>
      </c>
      <c r="H434">
        <f t="shared" si="84"/>
        <v>767</v>
      </c>
      <c r="I434" s="17">
        <f t="shared" si="85"/>
        <v>3.0348256182440331E-2</v>
      </c>
      <c r="J434" s="17">
        <f t="shared" si="85"/>
        <v>3.2916804035920379E-2</v>
      </c>
      <c r="K434" s="17">
        <f t="shared" si="85"/>
        <v>5.4765727490533676E-2</v>
      </c>
      <c r="L434" s="17">
        <f t="shared" si="85"/>
        <v>7.3344243535518383E-2</v>
      </c>
      <c r="M434" s="17">
        <f t="shared" si="85"/>
        <v>4.1770590668061061E-2</v>
      </c>
    </row>
    <row r="435" spans="6:13" x14ac:dyDescent="0.2">
      <c r="F435">
        <v>1041</v>
      </c>
      <c r="G435">
        <f t="shared" si="83"/>
        <v>1.0409999999999999</v>
      </c>
      <c r="H435">
        <f t="shared" si="84"/>
        <v>768</v>
      </c>
      <c r="I435" s="17">
        <f t="shared" si="85"/>
        <v>3.035195988872319E-2</v>
      </c>
      <c r="J435" s="17">
        <f t="shared" si="85"/>
        <v>3.2922309765322899E-2</v>
      </c>
      <c r="K435" s="17">
        <f t="shared" si="85"/>
        <v>5.4776861034038511E-2</v>
      </c>
      <c r="L435" s="17">
        <f t="shared" si="85"/>
        <v>7.3382070574876279E-2</v>
      </c>
      <c r="M435" s="17">
        <f t="shared" si="85"/>
        <v>4.1783182697304737E-2</v>
      </c>
    </row>
    <row r="436" spans="6:13" x14ac:dyDescent="0.2">
      <c r="F436">
        <v>1042</v>
      </c>
      <c r="G436">
        <f t="shared" si="83"/>
        <v>1.042</v>
      </c>
      <c r="H436">
        <f t="shared" si="84"/>
        <v>769</v>
      </c>
      <c r="I436" s="17">
        <f t="shared" si="85"/>
        <v>3.0355668331169802E-2</v>
      </c>
      <c r="J436" s="17">
        <f t="shared" si="85"/>
        <v>3.2927809548921091E-2</v>
      </c>
      <c r="K436" s="17">
        <f t="shared" si="85"/>
        <v>5.4787976142323919E-2</v>
      </c>
      <c r="L436" s="17">
        <f t="shared" si="85"/>
        <v>7.3419852656961118E-2</v>
      </c>
      <c r="M436" s="17">
        <f t="shared" si="85"/>
        <v>4.1795772902717132E-2</v>
      </c>
    </row>
    <row r="437" spans="6:13" x14ac:dyDescent="0.2">
      <c r="F437">
        <v>1043</v>
      </c>
      <c r="G437">
        <f t="shared" si="83"/>
        <v>1.0429999999999999</v>
      </c>
      <c r="H437">
        <f t="shared" si="84"/>
        <v>770</v>
      </c>
      <c r="I437" s="17">
        <f t="shared" ref="I437:M446" si="86">(I$159+I$160*$G437+I$161*($G437^2)+I$162*($G437^3)+I$163/($G437^2))/1000</f>
        <v>3.0359381496248207E-2</v>
      </c>
      <c r="J437" s="17">
        <f t="shared" si="86"/>
        <v>3.2933303384600751E-2</v>
      </c>
      <c r="K437" s="17">
        <f t="shared" si="86"/>
        <v>5.4799072865756297E-2</v>
      </c>
      <c r="L437" s="17">
        <f t="shared" si="86"/>
        <v>7.3457589803660239E-2</v>
      </c>
      <c r="M437" s="17">
        <f t="shared" si="86"/>
        <v>4.1808361267482712E-2</v>
      </c>
    </row>
    <row r="438" spans="6:13" x14ac:dyDescent="0.2">
      <c r="F438">
        <v>1044</v>
      </c>
      <c r="G438">
        <f t="shared" si="83"/>
        <v>1.044</v>
      </c>
      <c r="H438">
        <f t="shared" si="84"/>
        <v>771</v>
      </c>
      <c r="I438" s="17">
        <f t="shared" si="86"/>
        <v>3.0363099370411619E-2</v>
      </c>
      <c r="J438" s="17">
        <f t="shared" si="86"/>
        <v>3.2938791270297176E-2</v>
      </c>
      <c r="K438" s="17">
        <f t="shared" si="86"/>
        <v>5.4810151254689125E-2</v>
      </c>
      <c r="L438" s="17">
        <f t="shared" si="86"/>
        <v>7.3495282036924445E-2</v>
      </c>
      <c r="M438" s="17">
        <f t="shared" si="86"/>
        <v>4.1820947774793629E-2</v>
      </c>
    </row>
    <row r="439" spans="6:13" x14ac:dyDescent="0.2">
      <c r="F439">
        <v>1045</v>
      </c>
      <c r="G439">
        <f t="shared" si="83"/>
        <v>1.0449999999999999</v>
      </c>
      <c r="H439">
        <f t="shared" si="84"/>
        <v>772</v>
      </c>
      <c r="I439" s="17">
        <f t="shared" si="86"/>
        <v>3.0366821940098453E-2</v>
      </c>
      <c r="J439" s="17">
        <f t="shared" si="86"/>
        <v>3.2944273203994789E-2</v>
      </c>
      <c r="K439" s="17">
        <f t="shared" si="86"/>
        <v>5.4821211359463204E-2</v>
      </c>
      <c r="L439" s="17">
        <f t="shared" si="86"/>
        <v>7.3532929378767889E-2</v>
      </c>
      <c r="M439" s="17">
        <f t="shared" si="86"/>
        <v>4.1833532407849684E-2</v>
      </c>
    </row>
    <row r="440" spans="6:13" x14ac:dyDescent="0.2">
      <c r="F440">
        <v>1046</v>
      </c>
      <c r="G440">
        <f t="shared" si="83"/>
        <v>1.046</v>
      </c>
      <c r="H440">
        <f t="shared" si="84"/>
        <v>773</v>
      </c>
      <c r="I440" s="17">
        <f t="shared" si="86"/>
        <v>3.0370549191732432E-2</v>
      </c>
      <c r="J440" s="17">
        <f t="shared" si="86"/>
        <v>3.2949749183726958E-2</v>
      </c>
      <c r="K440" s="17">
        <f t="shared" si="86"/>
        <v>5.483225323040665E-2</v>
      </c>
      <c r="L440" s="17">
        <f t="shared" si="86"/>
        <v>7.3570531851267593E-2</v>
      </c>
      <c r="M440" s="17">
        <f t="shared" si="86"/>
        <v>4.1846115149858323E-2</v>
      </c>
    </row>
    <row r="441" spans="6:13" x14ac:dyDescent="0.2">
      <c r="F441">
        <v>1047</v>
      </c>
      <c r="G441">
        <f t="shared" si="83"/>
        <v>1.0469999999999999</v>
      </c>
      <c r="H441">
        <f t="shared" si="84"/>
        <v>774</v>
      </c>
      <c r="I441" s="17">
        <f t="shared" si="86"/>
        <v>3.0374281111722676E-2</v>
      </c>
      <c r="J441" s="17">
        <f t="shared" si="86"/>
        <v>3.2955219207575652E-2</v>
      </c>
      <c r="K441" s="17">
        <f t="shared" si="86"/>
        <v>5.4843276917835006E-2</v>
      </c>
      <c r="L441" s="17">
        <f t="shared" si="86"/>
        <v>7.3608089476563041E-2</v>
      </c>
      <c r="M441" s="17">
        <f t="shared" si="86"/>
        <v>4.1858695984034515E-2</v>
      </c>
    </row>
    <row r="442" spans="6:13" x14ac:dyDescent="0.2">
      <c r="F442">
        <v>1048</v>
      </c>
      <c r="G442">
        <f t="shared" si="83"/>
        <v>1.048</v>
      </c>
      <c r="H442">
        <f t="shared" si="84"/>
        <v>775</v>
      </c>
      <c r="I442" s="17">
        <f t="shared" si="86"/>
        <v>3.0378017686463758E-2</v>
      </c>
      <c r="J442" s="17">
        <f t="shared" si="86"/>
        <v>3.2960683273671167E-2</v>
      </c>
      <c r="K442" s="17">
        <f t="shared" si="86"/>
        <v>5.485428247205127E-2</v>
      </c>
      <c r="L442" s="17">
        <f t="shared" si="86"/>
        <v>7.3645602276855987E-2</v>
      </c>
      <c r="M442" s="17">
        <f t="shared" si="86"/>
        <v>4.1871274893600804E-2</v>
      </c>
    </row>
    <row r="443" spans="6:13" x14ac:dyDescent="0.2">
      <c r="F443">
        <v>1049</v>
      </c>
      <c r="G443">
        <f t="shared" si="83"/>
        <v>1.0489999999999999</v>
      </c>
      <c r="H443">
        <f t="shared" si="84"/>
        <v>776</v>
      </c>
      <c r="I443" s="17">
        <f t="shared" si="86"/>
        <v>3.0381758902335822E-2</v>
      </c>
      <c r="J443" s="17">
        <f t="shared" si="86"/>
        <v>3.2966141380191882E-2</v>
      </c>
      <c r="K443" s="17">
        <f t="shared" si="86"/>
        <v>5.4865269943346021E-2</v>
      </c>
      <c r="L443" s="17">
        <f t="shared" si="86"/>
        <v>7.3683070274409929E-2</v>
      </c>
      <c r="M443" s="17">
        <f t="shared" si="86"/>
        <v>4.1883851861787176E-2</v>
      </c>
    </row>
    <row r="444" spans="6:13" x14ac:dyDescent="0.2">
      <c r="F444">
        <v>1050</v>
      </c>
      <c r="G444">
        <f t="shared" si="83"/>
        <v>1.05</v>
      </c>
      <c r="H444">
        <f t="shared" si="84"/>
        <v>777</v>
      </c>
      <c r="I444" s="17">
        <f t="shared" si="86"/>
        <v>3.0385504745704648E-2</v>
      </c>
      <c r="J444" s="17">
        <f t="shared" si="86"/>
        <v>3.2971593525363933E-2</v>
      </c>
      <c r="K444" s="17">
        <f t="shared" si="86"/>
        <v>5.4876239381997448E-2</v>
      </c>
      <c r="L444" s="17">
        <f t="shared" si="86"/>
        <v>7.3720493491549896E-2</v>
      </c>
      <c r="M444" s="17">
        <f t="shared" si="86"/>
        <v>4.1896426871831059E-2</v>
      </c>
    </row>
    <row r="445" spans="6:13" x14ac:dyDescent="0.2">
      <c r="F445">
        <v>1051</v>
      </c>
      <c r="G445">
        <f t="shared" si="83"/>
        <v>1.0509999999999999</v>
      </c>
      <c r="H445">
        <f t="shared" si="84"/>
        <v>778</v>
      </c>
      <c r="I445" s="17">
        <f t="shared" si="86"/>
        <v>3.0389255202921746E-2</v>
      </c>
      <c r="J445" s="17">
        <f t="shared" si="86"/>
        <v>3.2977039707461041E-2</v>
      </c>
      <c r="K445" s="17">
        <f t="shared" si="86"/>
        <v>5.4887190838271427E-2</v>
      </c>
      <c r="L445" s="17">
        <f t="shared" si="86"/>
        <v>7.3757871950661941E-2</v>
      </c>
      <c r="M445" s="17">
        <f t="shared" si="86"/>
        <v>4.1908999906977322E-2</v>
      </c>
    </row>
    <row r="446" spans="6:13" x14ac:dyDescent="0.2">
      <c r="F446">
        <v>1052</v>
      </c>
      <c r="G446">
        <f t="shared" si="83"/>
        <v>1.052</v>
      </c>
      <c r="H446">
        <f t="shared" si="84"/>
        <v>779</v>
      </c>
      <c r="I446" s="17">
        <f t="shared" si="86"/>
        <v>3.0393010260324402E-2</v>
      </c>
      <c r="J446" s="17">
        <f t="shared" si="86"/>
        <v>3.2982479924804083E-2</v>
      </c>
      <c r="K446" s="17">
        <f t="shared" si="86"/>
        <v>5.4898124362421613E-2</v>
      </c>
      <c r="L446" s="17">
        <f t="shared" si="86"/>
        <v>7.3795205674192912E-2</v>
      </c>
      <c r="M446" s="17">
        <f t="shared" si="86"/>
        <v>4.1921570950478139E-2</v>
      </c>
    </row>
    <row r="447" spans="6:13" x14ac:dyDescent="0.2">
      <c r="F447">
        <v>1053</v>
      </c>
      <c r="G447">
        <f t="shared" si="83"/>
        <v>1.0529999999999999</v>
      </c>
      <c r="H447">
        <f t="shared" si="84"/>
        <v>780</v>
      </c>
      <c r="I447" s="17">
        <f t="shared" ref="I447:M456" si="87">(I$159+I$160*$G447+I$161*($G447^2)+I$162*($G447^3)+I$163/($G447^2))/1000</f>
        <v>3.0396769904235798E-2</v>
      </c>
      <c r="J447" s="17">
        <f t="shared" si="87"/>
        <v>3.2987914175760948E-2</v>
      </c>
      <c r="K447" s="17">
        <f t="shared" si="87"/>
        <v>5.4909040004689484E-2</v>
      </c>
      <c r="L447" s="17">
        <f t="shared" si="87"/>
        <v>7.3832494684650155E-2</v>
      </c>
      <c r="M447" s="17">
        <f t="shared" si="87"/>
        <v>4.1934139985593019E-2</v>
      </c>
    </row>
    <row r="448" spans="6:13" x14ac:dyDescent="0.2">
      <c r="F448">
        <v>1054</v>
      </c>
      <c r="G448">
        <f t="shared" si="83"/>
        <v>1.054</v>
      </c>
      <c r="H448">
        <f t="shared" si="84"/>
        <v>781</v>
      </c>
      <c r="I448" s="17">
        <f t="shared" si="87"/>
        <v>3.0400534120965099E-2</v>
      </c>
      <c r="J448" s="17">
        <f t="shared" si="87"/>
        <v>3.2993342458746286E-2</v>
      </c>
      <c r="K448" s="17">
        <f t="shared" si="87"/>
        <v>5.491993781530443E-2</v>
      </c>
      <c r="L448" s="17">
        <f t="shared" si="87"/>
        <v>7.386973900460099E-2</v>
      </c>
      <c r="M448" s="17">
        <f t="shared" si="87"/>
        <v>4.1946706995588751E-2</v>
      </c>
    </row>
    <row r="449" spans="6:13" x14ac:dyDescent="0.2">
      <c r="F449">
        <v>1055</v>
      </c>
      <c r="G449">
        <f t="shared" si="83"/>
        <v>1.0549999999999999</v>
      </c>
      <c r="H449">
        <f t="shared" si="84"/>
        <v>782</v>
      </c>
      <c r="I449" s="17">
        <f t="shared" si="87"/>
        <v>3.0404302896807484E-2</v>
      </c>
      <c r="J449" s="17">
        <f t="shared" si="87"/>
        <v>3.2998764772221086E-2</v>
      </c>
      <c r="K449" s="17">
        <f t="shared" si="87"/>
        <v>5.4930817844483809E-2</v>
      </c>
      <c r="L449" s="17">
        <f t="shared" si="87"/>
        <v>7.390693865667243E-2</v>
      </c>
      <c r="M449" s="17">
        <f t="shared" si="87"/>
        <v>4.1959271963739324E-2</v>
      </c>
    </row>
    <row r="450" spans="6:13" x14ac:dyDescent="0.2">
      <c r="F450">
        <v>1056</v>
      </c>
      <c r="G450">
        <f t="shared" si="83"/>
        <v>1.056</v>
      </c>
      <c r="H450">
        <f t="shared" si="84"/>
        <v>783</v>
      </c>
      <c r="I450" s="17">
        <f t="shared" si="87"/>
        <v>3.0408076218044262E-2</v>
      </c>
      <c r="J450" s="17">
        <f t="shared" si="87"/>
        <v>3.3004181114692617E-2</v>
      </c>
      <c r="K450" s="17">
        <f t="shared" si="87"/>
        <v>5.4941680142433016E-2</v>
      </c>
      <c r="L450" s="17">
        <f t="shared" si="87"/>
        <v>7.394409366355105E-2</v>
      </c>
      <c r="M450" s="17">
        <f t="shared" si="87"/>
        <v>4.197183487332596E-2</v>
      </c>
    </row>
    <row r="451" spans="6:13" x14ac:dyDescent="0.2">
      <c r="F451">
        <v>1057</v>
      </c>
      <c r="G451">
        <f t="shared" si="83"/>
        <v>1.0569999999999999</v>
      </c>
      <c r="H451">
        <f t="shared" si="84"/>
        <v>784</v>
      </c>
      <c r="I451" s="17">
        <f t="shared" si="87"/>
        <v>3.0411854070942948E-2</v>
      </c>
      <c r="J451" s="17">
        <f t="shared" si="87"/>
        <v>3.3009591484713982E-2</v>
      </c>
      <c r="K451" s="17">
        <f t="shared" si="87"/>
        <v>5.4952524759345554E-2</v>
      </c>
      <c r="L451" s="17">
        <f t="shared" si="87"/>
        <v>7.3981204047982307E-2</v>
      </c>
      <c r="M451" s="17">
        <f t="shared" si="87"/>
        <v>4.1984395707636978E-2</v>
      </c>
    </row>
    <row r="452" spans="6:13" x14ac:dyDescent="0.2">
      <c r="F452">
        <v>1058</v>
      </c>
      <c r="G452">
        <f t="shared" si="83"/>
        <v>1.0580000000000001</v>
      </c>
      <c r="H452">
        <f t="shared" si="84"/>
        <v>785</v>
      </c>
      <c r="I452" s="17">
        <f t="shared" si="87"/>
        <v>3.0415636441757328E-2</v>
      </c>
      <c r="J452" s="17">
        <f t="shared" si="87"/>
        <v>3.301499588088401E-2</v>
      </c>
      <c r="K452" s="17">
        <f t="shared" si="87"/>
        <v>5.4963351745403129E-2</v>
      </c>
      <c r="L452" s="17">
        <f t="shared" si="87"/>
        <v>7.4018269832770503E-2</v>
      </c>
      <c r="M452" s="17">
        <f t="shared" si="87"/>
        <v>4.1996954449967872E-2</v>
      </c>
    </row>
    <row r="453" spans="6:13" x14ac:dyDescent="0.2">
      <c r="F453">
        <v>1059</v>
      </c>
      <c r="G453">
        <f t="shared" si="83"/>
        <v>1.0589999999999999</v>
      </c>
      <c r="H453">
        <f t="shared" si="84"/>
        <v>786</v>
      </c>
      <c r="I453" s="17">
        <f t="shared" si="87"/>
        <v>3.0419423316727565E-2</v>
      </c>
      <c r="J453" s="17">
        <f t="shared" si="87"/>
        <v>3.3020394301846882E-2</v>
      </c>
      <c r="K453" s="17">
        <f t="shared" si="87"/>
        <v>5.4974161150775636E-2</v>
      </c>
      <c r="L453" s="17">
        <f t="shared" si="87"/>
        <v>7.4055291040778265E-2</v>
      </c>
      <c r="M453" s="17">
        <f t="shared" si="87"/>
        <v>4.2009511083621144E-2</v>
      </c>
    </row>
    <row r="454" spans="6:13" x14ac:dyDescent="0.2">
      <c r="F454">
        <v>1060</v>
      </c>
      <c r="G454">
        <f t="shared" si="83"/>
        <v>1.06</v>
      </c>
      <c r="H454">
        <f t="shared" si="84"/>
        <v>787</v>
      </c>
      <c r="I454" s="17">
        <f t="shared" si="87"/>
        <v>3.0423214682080223E-2</v>
      </c>
      <c r="J454" s="17">
        <f t="shared" si="87"/>
        <v>3.3025786746291939E-2</v>
      </c>
      <c r="K454" s="17">
        <f t="shared" si="87"/>
        <v>5.4984953025621328E-2</v>
      </c>
      <c r="L454" s="17">
        <f t="shared" si="87"/>
        <v>7.4092267694926259E-2</v>
      </c>
      <c r="M454" s="17">
        <f t="shared" si="87"/>
        <v>4.2022065591906327E-2</v>
      </c>
    </row>
    <row r="455" spans="6:13" x14ac:dyDescent="0.2">
      <c r="F455">
        <v>1061</v>
      </c>
      <c r="G455">
        <f t="shared" si="83"/>
        <v>1.0609999999999999</v>
      </c>
      <c r="H455">
        <f t="shared" si="84"/>
        <v>788</v>
      </c>
      <c r="I455" s="17">
        <f t="shared" si="87"/>
        <v>3.0427010524028405E-2</v>
      </c>
      <c r="J455" s="17">
        <f t="shared" si="87"/>
        <v>3.303117321295343E-2</v>
      </c>
      <c r="K455" s="17">
        <f t="shared" si="87"/>
        <v>5.4995727420086821E-2</v>
      </c>
      <c r="L455" s="17">
        <f t="shared" si="87"/>
        <v>7.4129199818192951E-2</v>
      </c>
      <c r="M455" s="17">
        <f t="shared" si="87"/>
        <v>4.2034617958139987E-2</v>
      </c>
    </row>
    <row r="456" spans="6:13" x14ac:dyDescent="0.2">
      <c r="F456">
        <v>1062</v>
      </c>
      <c r="G456">
        <f t="shared" si="83"/>
        <v>1.0620000000000001</v>
      </c>
      <c r="H456">
        <f t="shared" si="84"/>
        <v>789</v>
      </c>
      <c r="I456" s="17">
        <f t="shared" si="87"/>
        <v>3.0430810828771779E-2</v>
      </c>
      <c r="J456" s="17">
        <f t="shared" si="87"/>
        <v>3.303655370061017E-2</v>
      </c>
      <c r="K456" s="17">
        <f t="shared" si="87"/>
        <v>5.5006484384307157E-2</v>
      </c>
      <c r="L456" s="17">
        <f t="shared" si="87"/>
        <v>7.4166087433614164E-2</v>
      </c>
      <c r="M456" s="17">
        <f t="shared" si="87"/>
        <v>4.2047168165645604E-2</v>
      </c>
    </row>
    <row r="457" spans="6:13" x14ac:dyDescent="0.2">
      <c r="F457">
        <v>1063</v>
      </c>
      <c r="G457">
        <f t="shared" si="83"/>
        <v>1.0629999999999999</v>
      </c>
      <c r="H457">
        <f t="shared" si="84"/>
        <v>790</v>
      </c>
      <c r="I457" s="17">
        <f t="shared" ref="I457:M466" si="88">(I$159+I$160*$G457+I$161*($G457^2)+I$162*($G457^3)+I$163/($G457^2))/1000</f>
        <v>3.0434615582496702E-2</v>
      </c>
      <c r="J457" s="17">
        <f t="shared" si="88"/>
        <v>3.3041928208085436E-2</v>
      </c>
      <c r="K457" s="17">
        <f t="shared" si="88"/>
        <v>5.5017223968405901E-2</v>
      </c>
      <c r="L457" s="17">
        <f t="shared" si="88"/>
        <v>7.4202930564282801E-2</v>
      </c>
      <c r="M457" s="17">
        <f t="shared" si="88"/>
        <v>4.2059716197753561E-2</v>
      </c>
    </row>
    <row r="458" spans="6:13" x14ac:dyDescent="0.2">
      <c r="F458">
        <v>1064</v>
      </c>
      <c r="G458">
        <f t="shared" si="83"/>
        <v>1.0640000000000001</v>
      </c>
      <c r="H458">
        <f t="shared" si="84"/>
        <v>791</v>
      </c>
      <c r="I458" s="17">
        <f t="shared" si="88"/>
        <v>3.0438424771376232E-2</v>
      </c>
      <c r="J458" s="17">
        <f t="shared" si="88"/>
        <v>3.3047296734246563E-2</v>
      </c>
      <c r="K458" s="17">
        <f t="shared" si="88"/>
        <v>5.5027946222495169E-2</v>
      </c>
      <c r="L458" s="17">
        <f t="shared" si="88"/>
        <v>7.4239729233348525E-2</v>
      </c>
      <c r="M458" s="17">
        <f t="shared" si="88"/>
        <v>4.207226203780115E-2</v>
      </c>
    </row>
    <row r="459" spans="6:13" x14ac:dyDescent="0.2">
      <c r="F459">
        <v>1065</v>
      </c>
      <c r="G459">
        <f t="shared" si="83"/>
        <v>1.0649999999999999</v>
      </c>
      <c r="H459">
        <f t="shared" si="84"/>
        <v>792</v>
      </c>
      <c r="I459" s="17">
        <f t="shared" si="88"/>
        <v>3.0442238381570282E-2</v>
      </c>
      <c r="J459" s="17">
        <f t="shared" si="88"/>
        <v>3.3052659278004826E-2</v>
      </c>
      <c r="K459" s="17">
        <f t="shared" si="88"/>
        <v>5.5038651196675718E-2</v>
      </c>
      <c r="L459" s="17">
        <f t="shared" si="88"/>
        <v>7.427648346401744E-2</v>
      </c>
      <c r="M459" s="17">
        <f t="shared" si="88"/>
        <v>4.2084805669132461E-2</v>
      </c>
    </row>
    <row r="460" spans="6:13" x14ac:dyDescent="0.2">
      <c r="F460">
        <v>1066</v>
      </c>
      <c r="G460">
        <f t="shared" si="83"/>
        <v>1.0660000000000001</v>
      </c>
      <c r="H460">
        <f t="shared" si="84"/>
        <v>793</v>
      </c>
      <c r="I460" s="17">
        <f t="shared" si="88"/>
        <v>3.044605639922561E-2</v>
      </c>
      <c r="J460" s="17">
        <f t="shared" si="88"/>
        <v>3.3058015838315108E-2</v>
      </c>
      <c r="K460" s="17">
        <f t="shared" si="88"/>
        <v>5.504933894103705E-2</v>
      </c>
      <c r="L460" s="17">
        <f t="shared" si="88"/>
        <v>7.4313193279551812E-2</v>
      </c>
      <c r="M460" s="17">
        <f t="shared" si="88"/>
        <v>4.2097347075098379E-2</v>
      </c>
    </row>
    <row r="461" spans="6:13" x14ac:dyDescent="0.2">
      <c r="F461">
        <v>1067</v>
      </c>
      <c r="G461">
        <f t="shared" si="83"/>
        <v>1.0669999999999999</v>
      </c>
      <c r="H461">
        <f t="shared" si="84"/>
        <v>794</v>
      </c>
      <c r="I461" s="17">
        <f t="shared" si="88"/>
        <v>3.0449878810475957E-2</v>
      </c>
      <c r="J461" s="17">
        <f t="shared" si="88"/>
        <v>3.306336641417567E-2</v>
      </c>
      <c r="K461" s="17">
        <f t="shared" si="88"/>
        <v>5.5060009505657349E-2</v>
      </c>
      <c r="L461" s="17">
        <f t="shared" si="88"/>
        <v>7.4349858703269614E-2</v>
      </c>
      <c r="M461" s="17">
        <f t="shared" si="88"/>
        <v>4.2109886239056551E-2</v>
      </c>
    </row>
    <row r="462" spans="6:13" x14ac:dyDescent="0.2">
      <c r="F462">
        <v>1068</v>
      </c>
      <c r="G462">
        <f t="shared" si="83"/>
        <v>1.0680000000000001</v>
      </c>
      <c r="H462">
        <f t="shared" si="84"/>
        <v>795</v>
      </c>
      <c r="I462" s="17">
        <f t="shared" si="88"/>
        <v>3.0453705601442106E-2</v>
      </c>
      <c r="J462" s="17">
        <f t="shared" si="88"/>
        <v>3.3068711004627972E-2</v>
      </c>
      <c r="K462" s="17">
        <f t="shared" si="88"/>
        <v>5.5070662940603705E-2</v>
      </c>
      <c r="L462" s="17">
        <f t="shared" si="88"/>
        <v>7.4386479758544427E-2</v>
      </c>
      <c r="M462" s="17">
        <f t="shared" si="88"/>
        <v>4.2122423144371347E-2</v>
      </c>
    </row>
    <row r="463" spans="6:13" x14ac:dyDescent="0.2">
      <c r="F463">
        <v>1069</v>
      </c>
      <c r="G463">
        <f t="shared" si="83"/>
        <v>1.069</v>
      </c>
      <c r="H463">
        <f t="shared" si="84"/>
        <v>796</v>
      </c>
      <c r="I463" s="17">
        <f t="shared" si="88"/>
        <v>3.0457536758231919E-2</v>
      </c>
      <c r="J463" s="17">
        <f t="shared" si="88"/>
        <v>3.3074049608756297E-2</v>
      </c>
      <c r="K463" s="17">
        <f t="shared" si="88"/>
        <v>5.5081299295932015E-2</v>
      </c>
      <c r="L463" s="17">
        <f t="shared" si="88"/>
        <v>7.4423056468804927E-2</v>
      </c>
      <c r="M463" s="17">
        <f t="shared" si="88"/>
        <v>4.2134957774413812E-2</v>
      </c>
    </row>
    <row r="464" spans="6:13" x14ac:dyDescent="0.2">
      <c r="F464">
        <v>1070</v>
      </c>
      <c r="G464">
        <f t="shared" si="83"/>
        <v>1.07</v>
      </c>
      <c r="H464">
        <f t="shared" si="84"/>
        <v>797</v>
      </c>
      <c r="I464" s="17">
        <f t="shared" si="88"/>
        <v>3.046137226694046E-2</v>
      </c>
      <c r="J464" s="17">
        <f t="shared" si="88"/>
        <v>3.3079382225687674E-2</v>
      </c>
      <c r="K464" s="17">
        <f t="shared" si="88"/>
        <v>5.5091918621687212E-2</v>
      </c>
      <c r="L464" s="17">
        <f t="shared" si="88"/>
        <v>7.4459588857534703E-2</v>
      </c>
      <c r="M464" s="17">
        <f t="shared" si="88"/>
        <v>4.2147490112561636E-2</v>
      </c>
    </row>
    <row r="465" spans="6:13" x14ac:dyDescent="0.2">
      <c r="F465">
        <v>1071</v>
      </c>
      <c r="G465">
        <f t="shared" si="83"/>
        <v>1.071</v>
      </c>
      <c r="H465">
        <f t="shared" si="84"/>
        <v>798</v>
      </c>
      <c r="I465" s="17">
        <f t="shared" si="88"/>
        <v>3.0465212113650022E-2</v>
      </c>
      <c r="J465" s="17">
        <f t="shared" si="88"/>
        <v>3.3084708854591506E-2</v>
      </c>
      <c r="K465" s="17">
        <f t="shared" si="88"/>
        <v>5.5102520967903162E-2</v>
      </c>
      <c r="L465" s="17">
        <f t="shared" si="88"/>
        <v>7.44960769482719E-2</v>
      </c>
      <c r="M465" s="17">
        <f t="shared" si="88"/>
        <v>4.2160020142199092E-2</v>
      </c>
    </row>
    <row r="466" spans="6:13" x14ac:dyDescent="0.2">
      <c r="F466">
        <v>1072</v>
      </c>
      <c r="G466">
        <f t="shared" si="83"/>
        <v>1.0720000000000001</v>
      </c>
      <c r="H466">
        <f t="shared" si="84"/>
        <v>799</v>
      </c>
      <c r="I466" s="17">
        <f t="shared" si="88"/>
        <v>3.0469056284430255E-2</v>
      </c>
      <c r="J466" s="17">
        <f t="shared" si="88"/>
        <v>3.3090029494679395E-2</v>
      </c>
      <c r="K466" s="17">
        <f t="shared" si="88"/>
        <v>5.5113106384602886E-2</v>
      </c>
      <c r="L466" s="17">
        <f t="shared" si="88"/>
        <v>7.4532520764608937E-2</v>
      </c>
      <c r="M466" s="17">
        <f t="shared" si="88"/>
        <v>4.2172547846717076E-2</v>
      </c>
    </row>
    <row r="467" spans="6:13" x14ac:dyDescent="0.2">
      <c r="F467">
        <v>1073</v>
      </c>
      <c r="G467">
        <f t="shared" si="83"/>
        <v>1.073</v>
      </c>
      <c r="H467">
        <f t="shared" si="84"/>
        <v>800</v>
      </c>
      <c r="I467" s="17">
        <f t="shared" ref="I467:M476" si="89">(I$159+I$160*$G467+I$161*($G467^2)+I$162*($G467^3)+I$163/($G467^2))/1000</f>
        <v>3.0472904765338149E-2</v>
      </c>
      <c r="J467" s="17">
        <f t="shared" si="89"/>
        <v>3.3095344145204902E-2</v>
      </c>
      <c r="K467" s="17">
        <f t="shared" si="89"/>
        <v>5.5123674921798461E-2</v>
      </c>
      <c r="L467" s="17">
        <f t="shared" si="89"/>
        <v>7.4568920330192162E-2</v>
      </c>
      <c r="M467" s="17">
        <f t="shared" si="89"/>
        <v>4.2185073209512945E-2</v>
      </c>
    </row>
    <row r="468" spans="6:13" x14ac:dyDescent="0.2">
      <c r="F468">
        <v>1074</v>
      </c>
      <c r="G468">
        <f t="shared" si="83"/>
        <v>1.0740000000000001</v>
      </c>
      <c r="H468">
        <f t="shared" si="84"/>
        <v>801</v>
      </c>
      <c r="I468" s="17">
        <f t="shared" si="89"/>
        <v>3.0476757542418197E-2</v>
      </c>
      <c r="J468" s="17">
        <f t="shared" si="89"/>
        <v>3.3100652805463315E-2</v>
      </c>
      <c r="K468" s="17">
        <f t="shared" si="89"/>
        <v>5.5134226629491231E-2</v>
      </c>
      <c r="L468" s="17">
        <f t="shared" si="89"/>
        <v>7.4605275668721535E-2</v>
      </c>
      <c r="M468" s="17">
        <f t="shared" si="89"/>
        <v>4.2197596213990593E-2</v>
      </c>
    </row>
    <row r="469" spans="6:13" x14ac:dyDescent="0.2">
      <c r="F469">
        <v>1075</v>
      </c>
      <c r="G469">
        <f t="shared" si="83"/>
        <v>1.075</v>
      </c>
      <c r="H469">
        <f t="shared" si="84"/>
        <v>802</v>
      </c>
      <c r="I469" s="17">
        <f t="shared" si="89"/>
        <v>3.0480614601702427E-2</v>
      </c>
      <c r="J469" s="17">
        <f t="shared" si="89"/>
        <v>3.3105955474791372E-2</v>
      </c>
      <c r="K469" s="17">
        <f t="shared" si="89"/>
        <v>5.5144761557671722E-2</v>
      </c>
      <c r="L469" s="17">
        <f t="shared" si="89"/>
        <v>7.4641586803950458E-2</v>
      </c>
      <c r="M469" s="17">
        <f t="shared" si="89"/>
        <v>4.2210116843560373E-2</v>
      </c>
    </row>
    <row r="470" spans="6:13" x14ac:dyDescent="0.2">
      <c r="F470">
        <v>1076</v>
      </c>
      <c r="G470">
        <f t="shared" si="83"/>
        <v>1.0760000000000001</v>
      </c>
      <c r="H470">
        <f t="shared" si="84"/>
        <v>803</v>
      </c>
      <c r="I470" s="17">
        <f t="shared" si="89"/>
        <v>3.0484475929210435E-2</v>
      </c>
      <c r="J470" s="17">
        <f t="shared" si="89"/>
        <v>3.3111252152567099E-2</v>
      </c>
      <c r="K470" s="17">
        <f t="shared" si="89"/>
        <v>5.5155279756319849E-2</v>
      </c>
      <c r="L470" s="17">
        <f t="shared" si="89"/>
        <v>7.4677853759685428E-2</v>
      </c>
      <c r="M470" s="17">
        <f t="shared" si="89"/>
        <v>4.222263508163903E-2</v>
      </c>
    </row>
    <row r="471" spans="6:13" x14ac:dyDescent="0.2">
      <c r="F471">
        <v>1077</v>
      </c>
      <c r="G471">
        <f t="shared" si="83"/>
        <v>1.077</v>
      </c>
      <c r="H471">
        <f t="shared" si="84"/>
        <v>804</v>
      </c>
      <c r="I471" s="17">
        <f t="shared" si="89"/>
        <v>3.0488341510949521E-2</v>
      </c>
      <c r="J471" s="17">
        <f t="shared" si="89"/>
        <v>3.3116542838209535E-2</v>
      </c>
      <c r="K471" s="17">
        <f t="shared" si="89"/>
        <v>5.5165781275404849E-2</v>
      </c>
      <c r="L471" s="17">
        <f t="shared" si="89"/>
        <v>7.4714076559785514E-2</v>
      </c>
      <c r="M471" s="17">
        <f t="shared" si="89"/>
        <v>4.2235150911649762E-2</v>
      </c>
    </row>
    <row r="472" spans="6:13" x14ac:dyDescent="0.2">
      <c r="F472">
        <v>1078</v>
      </c>
      <c r="G472">
        <f t="shared" si="83"/>
        <v>1.0780000000000001</v>
      </c>
      <c r="H472">
        <f t="shared" si="84"/>
        <v>805</v>
      </c>
      <c r="I472" s="17">
        <f t="shared" si="89"/>
        <v>3.0492211332914698E-2</v>
      </c>
      <c r="J472" s="17">
        <f t="shared" si="89"/>
        <v>3.312182753117851E-2</v>
      </c>
      <c r="K472" s="17">
        <f t="shared" si="89"/>
        <v>5.517626616488544E-2</v>
      </c>
      <c r="L472" s="17">
        <f t="shared" si="89"/>
        <v>7.475025522816249E-2</v>
      </c>
      <c r="M472" s="17">
        <f t="shared" si="89"/>
        <v>4.2247664317022024E-2</v>
      </c>
    </row>
    <row r="473" spans="6:13" x14ac:dyDescent="0.2">
      <c r="F473">
        <v>1079</v>
      </c>
      <c r="G473">
        <f t="shared" si="83"/>
        <v>1.079</v>
      </c>
      <c r="H473">
        <f t="shared" si="84"/>
        <v>806</v>
      </c>
      <c r="I473" s="17">
        <f t="shared" si="89"/>
        <v>3.0496085381088823E-2</v>
      </c>
      <c r="J473" s="17">
        <f t="shared" si="89"/>
        <v>3.3127106230974424E-2</v>
      </c>
      <c r="K473" s="17">
        <f t="shared" si="89"/>
        <v>5.5186734474709766E-2</v>
      </c>
      <c r="L473" s="17">
        <f t="shared" si="89"/>
        <v>7.4786389788780105E-2</v>
      </c>
      <c r="M473" s="17">
        <f t="shared" si="89"/>
        <v>4.2260175281191657E-2</v>
      </c>
    </row>
    <row r="474" spans="6:13" x14ac:dyDescent="0.2">
      <c r="F474">
        <v>1080</v>
      </c>
      <c r="G474">
        <f t="shared" si="83"/>
        <v>1.08</v>
      </c>
      <c r="H474">
        <f t="shared" si="84"/>
        <v>807</v>
      </c>
      <c r="I474" s="17">
        <f t="shared" si="89"/>
        <v>3.0499963641442591E-2</v>
      </c>
      <c r="J474" s="17">
        <f t="shared" si="89"/>
        <v>3.3132378937138038E-2</v>
      </c>
      <c r="K474" s="17">
        <f t="shared" si="89"/>
        <v>5.5197186254815622E-2</v>
      </c>
      <c r="L474" s="17">
        <f t="shared" si="89"/>
        <v>7.4822480265654065E-2</v>
      </c>
      <c r="M474" s="17">
        <f t="shared" si="89"/>
        <v>4.2272683787600761E-2</v>
      </c>
    </row>
    <row r="475" spans="6:13" x14ac:dyDescent="0.2">
      <c r="F475">
        <v>1081</v>
      </c>
      <c r="G475">
        <f t="shared" si="83"/>
        <v>1.081</v>
      </c>
      <c r="H475">
        <f t="shared" si="84"/>
        <v>808</v>
      </c>
      <c r="I475" s="17">
        <f t="shared" si="89"/>
        <v>3.0503846099934666E-2</v>
      </c>
      <c r="J475" s="17">
        <f t="shared" si="89"/>
        <v>3.3137645649250209E-2</v>
      </c>
      <c r="K475" s="17">
        <f t="shared" si="89"/>
        <v>5.5207621555130287E-2</v>
      </c>
      <c r="L475" s="17">
        <f t="shared" si="89"/>
        <v>7.4858526682851784E-2</v>
      </c>
      <c r="M475" s="17">
        <f t="shared" si="89"/>
        <v>4.2285189819697692E-2</v>
      </c>
    </row>
    <row r="476" spans="6:13" x14ac:dyDescent="0.2">
      <c r="F476">
        <v>1082</v>
      </c>
      <c r="G476">
        <f t="shared" si="83"/>
        <v>1.0820000000000001</v>
      </c>
      <c r="H476">
        <f t="shared" si="84"/>
        <v>809</v>
      </c>
      <c r="I476" s="17">
        <f t="shared" si="89"/>
        <v>3.0507732742511687E-2</v>
      </c>
      <c r="J476" s="17">
        <f t="shared" si="89"/>
        <v>3.31429063669317E-2</v>
      </c>
      <c r="K476" s="17">
        <f t="shared" si="89"/>
        <v>5.5218040425570838E-2</v>
      </c>
      <c r="L476" s="17">
        <f t="shared" si="89"/>
        <v>7.4894529064491816E-2</v>
      </c>
      <c r="M476" s="17">
        <f t="shared" si="89"/>
        <v>4.2297693360937007E-2</v>
      </c>
    </row>
    <row r="477" spans="6:13" x14ac:dyDescent="0.2">
      <c r="F477">
        <v>1083</v>
      </c>
      <c r="G477">
        <f t="shared" si="83"/>
        <v>1.083</v>
      </c>
      <c r="H477">
        <f t="shared" si="84"/>
        <v>810</v>
      </c>
      <c r="I477" s="17">
        <f t="shared" ref="I477:M486" si="90">(I$159+I$160*$G477+I$161*($G477^2)+I$162*($G477^3)+I$163/($G477^2))/1000</f>
        <v>3.051162355510843E-2</v>
      </c>
      <c r="J477" s="17">
        <f t="shared" si="90"/>
        <v>3.3148161089842948E-2</v>
      </c>
      <c r="K477" s="17">
        <f t="shared" si="90"/>
        <v>5.5228442916043965E-2</v>
      </c>
      <c r="L477" s="17">
        <f t="shared" si="90"/>
        <v>7.4930487434743898E-2</v>
      </c>
      <c r="M477" s="17">
        <f t="shared" si="90"/>
        <v>4.2310194394779413E-2</v>
      </c>
    </row>
    <row r="478" spans="6:13" x14ac:dyDescent="0.2">
      <c r="F478">
        <v>1084</v>
      </c>
      <c r="G478">
        <f t="shared" si="83"/>
        <v>1.0840000000000001</v>
      </c>
      <c r="H478">
        <f t="shared" si="84"/>
        <v>811</v>
      </c>
      <c r="I478" s="17">
        <f t="shared" si="90"/>
        <v>3.0515518523647749E-2</v>
      </c>
      <c r="J478" s="17">
        <f t="shared" si="90"/>
        <v>3.3153409817683853E-2</v>
      </c>
      <c r="K478" s="17">
        <f t="shared" si="90"/>
        <v>5.5238829076446228E-2</v>
      </c>
      <c r="L478" s="17">
        <f t="shared" si="90"/>
        <v>7.4966401817828376E-2</v>
      </c>
      <c r="M478" s="17">
        <f t="shared" si="90"/>
        <v>4.2322692904691851E-2</v>
      </c>
    </row>
    <row r="479" spans="6:13" x14ac:dyDescent="0.2">
      <c r="F479">
        <v>1085</v>
      </c>
      <c r="G479">
        <f t="shared" si="83"/>
        <v>1.085</v>
      </c>
      <c r="H479">
        <f t="shared" si="84"/>
        <v>812</v>
      </c>
      <c r="I479" s="17">
        <f t="shared" si="90"/>
        <v>3.0519417634040744E-2</v>
      </c>
      <c r="J479" s="17">
        <f t="shared" si="90"/>
        <v>3.3158652550193568E-2</v>
      </c>
      <c r="K479" s="17">
        <f t="shared" si="90"/>
        <v>5.524919895666397E-2</v>
      </c>
      <c r="L479" s="17">
        <f t="shared" si="90"/>
        <v>7.5002272238016129E-2</v>
      </c>
      <c r="M479" s="17">
        <f t="shared" si="90"/>
        <v>4.2335188874147243E-2</v>
      </c>
    </row>
    <row r="480" spans="6:13" x14ac:dyDescent="0.2">
      <c r="F480">
        <v>1086</v>
      </c>
      <c r="G480">
        <f t="shared" si="83"/>
        <v>1.0860000000000001</v>
      </c>
      <c r="H480">
        <f t="shared" si="84"/>
        <v>813</v>
      </c>
      <c r="I480" s="17">
        <f t="shared" si="90"/>
        <v>3.052332087218677E-2</v>
      </c>
      <c r="J480" s="17">
        <f t="shared" si="90"/>
        <v>3.3163889287150229E-2</v>
      </c>
      <c r="K480" s="17">
        <f t="shared" si="90"/>
        <v>5.525955260657342E-2</v>
      </c>
      <c r="L480" s="17">
        <f t="shared" si="90"/>
        <v>7.5038098719628285E-2</v>
      </c>
      <c r="M480" s="17">
        <f t="shared" si="90"/>
        <v>4.234768228662468E-2</v>
      </c>
    </row>
    <row r="481" spans="6:13" x14ac:dyDescent="0.2">
      <c r="F481">
        <v>1087</v>
      </c>
      <c r="G481">
        <f t="shared" si="83"/>
        <v>1.087</v>
      </c>
      <c r="H481">
        <f t="shared" si="84"/>
        <v>814</v>
      </c>
      <c r="I481" s="17">
        <f t="shared" si="90"/>
        <v>3.0527228223973531E-2</v>
      </c>
      <c r="J481" s="17">
        <f t="shared" si="90"/>
        <v>3.3169120028370816E-2</v>
      </c>
      <c r="K481" s="17">
        <f t="shared" si="90"/>
        <v>5.5269890076040828E-2</v>
      </c>
      <c r="L481" s="17">
        <f t="shared" si="90"/>
        <v>7.5073881287035765E-2</v>
      </c>
      <c r="M481" s="17">
        <f t="shared" si="90"/>
        <v>4.2360173125609281E-2</v>
      </c>
    </row>
    <row r="482" spans="6:13" x14ac:dyDescent="0.2">
      <c r="F482">
        <v>1088</v>
      </c>
      <c r="G482">
        <f t="shared" si="83"/>
        <v>1.0880000000000001</v>
      </c>
      <c r="H482">
        <f t="shared" si="84"/>
        <v>815</v>
      </c>
      <c r="I482" s="17">
        <f t="shared" si="90"/>
        <v>3.0531139675277132E-2</v>
      </c>
      <c r="J482" s="17">
        <f t="shared" si="90"/>
        <v>3.3174344773710895E-2</v>
      </c>
      <c r="K482" s="17">
        <f t="shared" si="90"/>
        <v>5.5280211414922363E-2</v>
      </c>
      <c r="L482" s="17">
        <f t="shared" si="90"/>
        <v>7.5109619964659188E-2</v>
      </c>
      <c r="M482" s="17">
        <f t="shared" si="90"/>
        <v>4.2372661374592141E-2</v>
      </c>
    </row>
    <row r="483" spans="6:13" x14ac:dyDescent="0.2">
      <c r="F483">
        <v>1089</v>
      </c>
      <c r="G483">
        <f t="shared" si="83"/>
        <v>1.089</v>
      </c>
      <c r="H483">
        <f t="shared" si="84"/>
        <v>816</v>
      </c>
      <c r="I483" s="17">
        <f t="shared" si="90"/>
        <v>3.0535055211962141E-2</v>
      </c>
      <c r="J483" s="17">
        <f t="shared" si="90"/>
        <v>3.3179563523064393E-2</v>
      </c>
      <c r="K483" s="17">
        <f t="shared" si="90"/>
        <v>5.5290516673064304E-2</v>
      </c>
      <c r="L483" s="17">
        <f t="shared" si="90"/>
        <v>7.5145314776968564E-2</v>
      </c>
      <c r="M483" s="17">
        <f t="shared" si="90"/>
        <v>4.2385147017070336E-2</v>
      </c>
    </row>
    <row r="484" spans="6:13" x14ac:dyDescent="0.2">
      <c r="F484">
        <v>1090</v>
      </c>
      <c r="G484">
        <f t="shared" si="83"/>
        <v>1.0900000000000001</v>
      </c>
      <c r="H484">
        <f t="shared" si="84"/>
        <v>817</v>
      </c>
      <c r="I484" s="17">
        <f t="shared" si="90"/>
        <v>3.0538974819881642E-2</v>
      </c>
      <c r="J484" s="17">
        <f t="shared" si="90"/>
        <v>3.3184776276363438E-2</v>
      </c>
      <c r="K484" s="17">
        <f t="shared" si="90"/>
        <v>5.5300805900303042E-2</v>
      </c>
      <c r="L484" s="17">
        <f t="shared" si="90"/>
        <v>7.5180965748482945E-2</v>
      </c>
      <c r="M484" s="17">
        <f t="shared" si="90"/>
        <v>4.2397630036546931E-2</v>
      </c>
    </row>
    <row r="485" spans="6:13" x14ac:dyDescent="0.2">
      <c r="F485">
        <v>1091</v>
      </c>
      <c r="G485">
        <f t="shared" si="83"/>
        <v>1.091</v>
      </c>
      <c r="H485">
        <f t="shared" si="84"/>
        <v>818</v>
      </c>
      <c r="I485" s="17">
        <f t="shared" si="90"/>
        <v>3.0542898484877332E-2</v>
      </c>
      <c r="J485" s="17">
        <f t="shared" si="90"/>
        <v>3.3189983033578063E-2</v>
      </c>
      <c r="K485" s="17">
        <f t="shared" si="90"/>
        <v>5.5311079146465117E-2</v>
      </c>
      <c r="L485" s="17">
        <f t="shared" si="90"/>
        <v>7.5216572903770165E-2</v>
      </c>
      <c r="M485" s="17">
        <f t="shared" si="90"/>
        <v>4.2410110416530825E-2</v>
      </c>
    </row>
    <row r="486" spans="6:13" x14ac:dyDescent="0.2">
      <c r="F486">
        <v>1092</v>
      </c>
      <c r="G486">
        <f t="shared" si="83"/>
        <v>1.0920000000000001</v>
      </c>
      <c r="H486">
        <f t="shared" si="84"/>
        <v>819</v>
      </c>
      <c r="I486" s="17">
        <f t="shared" si="90"/>
        <v>3.0546826192779552E-2</v>
      </c>
      <c r="J486" s="17">
        <f t="shared" si="90"/>
        <v>3.3195183794716129E-2</v>
      </c>
      <c r="K486" s="17">
        <f t="shared" si="90"/>
        <v>5.5321336461367311E-2</v>
      </c>
      <c r="L486" s="17">
        <f t="shared" si="90"/>
        <v>7.525213626744677E-2</v>
      </c>
      <c r="M486" s="17">
        <f t="shared" si="90"/>
        <v>4.2422588140536864E-2</v>
      </c>
    </row>
    <row r="487" spans="6:13" x14ac:dyDescent="0.2">
      <c r="F487">
        <v>1093</v>
      </c>
      <c r="G487">
        <f t="shared" ref="G487:G518" si="91">F487/1000</f>
        <v>1.093</v>
      </c>
      <c r="H487">
        <f t="shared" si="84"/>
        <v>820</v>
      </c>
      <c r="I487" s="17">
        <f t="shared" ref="I487:M496" si="92">(I$159+I$160*$G487+I$161*($G487^2)+I$162*($G487^3)+I$163/($G487^2))/1000</f>
        <v>3.0550757929407358E-2</v>
      </c>
      <c r="J487" s="17">
        <f t="shared" si="92"/>
        <v>3.3200378559822989E-2</v>
      </c>
      <c r="K487" s="17">
        <f t="shared" si="92"/>
        <v>5.5331577894816672E-2</v>
      </c>
      <c r="L487" s="17">
        <f t="shared" si="92"/>
        <v>7.5287655864177377E-2</v>
      </c>
      <c r="M487" s="17">
        <f t="shared" si="92"/>
        <v>4.2435063192085704E-2</v>
      </c>
    </row>
    <row r="488" spans="6:13" x14ac:dyDescent="0.2">
      <c r="F488">
        <v>1094</v>
      </c>
      <c r="G488">
        <f t="shared" si="91"/>
        <v>1.0940000000000001</v>
      </c>
      <c r="H488">
        <f t="shared" si="84"/>
        <v>821</v>
      </c>
      <c r="I488" s="17">
        <f t="shared" si="92"/>
        <v>3.0554693680568602E-2</v>
      </c>
      <c r="J488" s="17">
        <f t="shared" si="92"/>
        <v>3.3205567328981341E-2</v>
      </c>
      <c r="K488" s="17">
        <f t="shared" si="92"/>
        <v>5.5341803496610581E-2</v>
      </c>
      <c r="L488" s="17">
        <f t="shared" si="92"/>
        <v>7.5323131718674829E-2</v>
      </c>
      <c r="M488" s="17">
        <f t="shared" si="92"/>
        <v>4.2447535554703819E-2</v>
      </c>
    </row>
    <row r="489" spans="6:13" x14ac:dyDescent="0.2">
      <c r="F489">
        <v>1095</v>
      </c>
      <c r="G489">
        <f t="shared" si="91"/>
        <v>1.095</v>
      </c>
      <c r="H489">
        <f t="shared" ref="H489:H518" si="93">F489-273</f>
        <v>822</v>
      </c>
      <c r="I489" s="17">
        <f t="shared" si="92"/>
        <v>3.0558633432059945E-2</v>
      </c>
      <c r="J489" s="17">
        <f t="shared" si="92"/>
        <v>3.3210750102311018E-2</v>
      </c>
      <c r="K489" s="17">
        <f t="shared" si="92"/>
        <v>5.5352013316536809E-2</v>
      </c>
      <c r="L489" s="17">
        <f t="shared" si="92"/>
        <v>7.5358563855699556E-2</v>
      </c>
      <c r="M489" s="17">
        <f t="shared" si="92"/>
        <v>4.2460005211923467E-2</v>
      </c>
    </row>
    <row r="490" spans="6:13" x14ac:dyDescent="0.2">
      <c r="F490">
        <v>1096</v>
      </c>
      <c r="G490">
        <f t="shared" si="91"/>
        <v>1.0960000000000001</v>
      </c>
      <c r="H490">
        <f t="shared" si="93"/>
        <v>823</v>
      </c>
      <c r="I490" s="17">
        <f t="shared" si="92"/>
        <v>3.0562577169666975E-2</v>
      </c>
      <c r="J490" s="17">
        <f t="shared" si="92"/>
        <v>3.3215926879968792E-2</v>
      </c>
      <c r="K490" s="17">
        <f t="shared" si="92"/>
        <v>5.5362207404373538E-2</v>
      </c>
      <c r="L490" s="17">
        <f t="shared" si="92"/>
        <v>7.5393952300059644E-2</v>
      </c>
      <c r="M490" s="17">
        <f t="shared" si="92"/>
        <v>4.2472472147282662E-2</v>
      </c>
    </row>
    <row r="491" spans="6:13" x14ac:dyDescent="0.2">
      <c r="F491">
        <v>1097</v>
      </c>
      <c r="G491">
        <f t="shared" si="91"/>
        <v>1.097</v>
      </c>
      <c r="H491">
        <f t="shared" si="93"/>
        <v>824</v>
      </c>
      <c r="I491" s="17">
        <f t="shared" si="92"/>
        <v>3.0566524879164236E-2</v>
      </c>
      <c r="J491" s="17">
        <f t="shared" si="92"/>
        <v>3.3221097662148161E-2</v>
      </c>
      <c r="K491" s="17">
        <f t="shared" si="92"/>
        <v>5.5372385809889499E-2</v>
      </c>
      <c r="L491" s="17">
        <f t="shared" si="92"/>
        <v>7.542929707661028E-2</v>
      </c>
      <c r="M491" s="17">
        <f t="shared" si="92"/>
        <v>4.2484936344325097E-2</v>
      </c>
    </row>
    <row r="492" spans="6:13" x14ac:dyDescent="0.2">
      <c r="F492">
        <v>1098</v>
      </c>
      <c r="G492">
        <f t="shared" si="91"/>
        <v>1.0980000000000001</v>
      </c>
      <c r="H492">
        <f t="shared" si="93"/>
        <v>825</v>
      </c>
      <c r="I492" s="17">
        <f t="shared" si="92"/>
        <v>3.0570476546315291E-2</v>
      </c>
      <c r="J492" s="17">
        <f t="shared" si="92"/>
        <v>3.3226262449079148E-2</v>
      </c>
      <c r="K492" s="17">
        <f t="shared" si="92"/>
        <v>5.5382548582843874E-2</v>
      </c>
      <c r="L492" s="17">
        <f t="shared" si="92"/>
        <v>7.5464598210253711E-2</v>
      </c>
      <c r="M492" s="17">
        <f t="shared" si="92"/>
        <v>4.2497397786600222E-2</v>
      </c>
    </row>
    <row r="493" spans="6:13" x14ac:dyDescent="0.2">
      <c r="F493">
        <v>1099</v>
      </c>
      <c r="G493">
        <f t="shared" si="91"/>
        <v>1.099</v>
      </c>
      <c r="H493">
        <f t="shared" si="93"/>
        <v>826</v>
      </c>
      <c r="I493" s="17">
        <f t="shared" si="92"/>
        <v>3.0574432156872784E-2</v>
      </c>
      <c r="J493" s="17">
        <f t="shared" si="92"/>
        <v>3.3231421241028104E-2</v>
      </c>
      <c r="K493" s="17">
        <f t="shared" si="92"/>
        <v>5.5392695772986514E-2</v>
      </c>
      <c r="L493" s="17">
        <f t="shared" si="92"/>
        <v>7.5499855725938855E-2</v>
      </c>
      <c r="M493" s="17">
        <f t="shared" si="92"/>
        <v>4.2509856457663094E-2</v>
      </c>
    </row>
    <row r="494" spans="6:13" x14ac:dyDescent="0.2">
      <c r="F494">
        <v>1100</v>
      </c>
      <c r="G494">
        <f t="shared" si="91"/>
        <v>1.1000000000000001</v>
      </c>
      <c r="H494">
        <f t="shared" si="93"/>
        <v>827</v>
      </c>
      <c r="I494" s="17">
        <f t="shared" si="92"/>
        <v>3.0578391696578517E-2</v>
      </c>
      <c r="J494" s="17">
        <f t="shared" si="92"/>
        <v>3.3236574038297523E-2</v>
      </c>
      <c r="K494" s="17">
        <f t="shared" si="92"/>
        <v>5.5402827430057852E-2</v>
      </c>
      <c r="L494" s="17">
        <f t="shared" si="92"/>
        <v>7.5535069648661149E-2</v>
      </c>
      <c r="M494" s="17">
        <f t="shared" si="92"/>
        <v>4.2522312341074384E-2</v>
      </c>
    </row>
    <row r="495" spans="6:13" x14ac:dyDescent="0.2">
      <c r="F495">
        <v>1101</v>
      </c>
      <c r="G495">
        <f t="shared" si="91"/>
        <v>1.101</v>
      </c>
      <c r="H495">
        <f t="shared" si="93"/>
        <v>828</v>
      </c>
      <c r="I495" s="17">
        <f t="shared" si="92"/>
        <v>3.0582355151163462E-2</v>
      </c>
      <c r="J495" s="17">
        <f t="shared" si="92"/>
        <v>3.32417208412258E-2</v>
      </c>
      <c r="K495" s="17">
        <f t="shared" si="92"/>
        <v>5.541294360378908E-2</v>
      </c>
      <c r="L495" s="17">
        <f t="shared" si="92"/>
        <v>7.5570240003462255E-2</v>
      </c>
      <c r="M495" s="17">
        <f t="shared" si="92"/>
        <v>4.253476542040039E-2</v>
      </c>
    </row>
    <row r="496" spans="6:13" x14ac:dyDescent="0.2">
      <c r="F496">
        <v>1102</v>
      </c>
      <c r="G496">
        <f t="shared" si="91"/>
        <v>1.1020000000000001</v>
      </c>
      <c r="H496">
        <f t="shared" si="93"/>
        <v>829</v>
      </c>
      <c r="I496" s="17">
        <f t="shared" si="92"/>
        <v>3.0586322506347879E-2</v>
      </c>
      <c r="J496" s="17">
        <f t="shared" si="92"/>
        <v>3.3246861650187108E-2</v>
      </c>
      <c r="K496" s="17">
        <f t="shared" si="92"/>
        <v>5.5423044343902064E-2</v>
      </c>
      <c r="L496" s="17">
        <f t="shared" si="92"/>
        <v>7.5605366815429703E-2</v>
      </c>
      <c r="M496" s="17">
        <f t="shared" si="92"/>
        <v>4.2547215679212963E-2</v>
      </c>
    </row>
    <row r="497" spans="6:17" x14ac:dyDescent="0.2">
      <c r="F497">
        <v>1103</v>
      </c>
      <c r="G497">
        <f t="shared" si="91"/>
        <v>1.103</v>
      </c>
      <c r="H497">
        <f t="shared" si="93"/>
        <v>830</v>
      </c>
      <c r="I497" s="17">
        <f t="shared" ref="I497:M506" si="94">(I$159+I$160*$G497+I$161*($G497^2)+I$162*($G497^3)+I$163/($G497^2))/1000</f>
        <v>3.0590293747841335E-2</v>
      </c>
      <c r="J497" s="17">
        <f t="shared" si="94"/>
        <v>3.3251996465591141E-2</v>
      </c>
      <c r="K497" s="17">
        <f t="shared" si="94"/>
        <v>5.5433129700109537E-2</v>
      </c>
      <c r="L497" s="17">
        <f t="shared" si="94"/>
        <v>7.5640450109696875E-2</v>
      </c>
      <c r="M497" s="17">
        <f t="shared" si="94"/>
        <v>4.2559663101089482E-2</v>
      </c>
    </row>
    <row r="498" spans="6:17" x14ac:dyDescent="0.2">
      <c r="F498">
        <v>1104</v>
      </c>
      <c r="G498">
        <f t="shared" si="91"/>
        <v>1.1040000000000001</v>
      </c>
      <c r="H498">
        <f t="shared" si="93"/>
        <v>831</v>
      </c>
      <c r="I498" s="17">
        <f t="shared" si="94"/>
        <v>3.0594268861342769E-2</v>
      </c>
      <c r="J498" s="17">
        <f t="shared" si="94"/>
        <v>3.3257125287882945E-2</v>
      </c>
      <c r="K498" s="17">
        <f t="shared" si="94"/>
        <v>5.5443199722115019E-2</v>
      </c>
      <c r="L498" s="17">
        <f t="shared" si="94"/>
        <v>7.5675489911442503E-2</v>
      </c>
      <c r="M498" s="17">
        <f t="shared" si="94"/>
        <v>4.2572107669612856E-2</v>
      </c>
    </row>
    <row r="499" spans="6:17" x14ac:dyDescent="0.2">
      <c r="F499">
        <v>1105</v>
      </c>
      <c r="G499">
        <f t="shared" si="91"/>
        <v>1.105</v>
      </c>
      <c r="H499">
        <f t="shared" si="93"/>
        <v>832</v>
      </c>
      <c r="I499" s="17">
        <f t="shared" si="94"/>
        <v>3.0598247832540566E-2</v>
      </c>
      <c r="J499" s="17">
        <f t="shared" si="94"/>
        <v>3.3262248117542748E-2</v>
      </c>
      <c r="K499" s="17">
        <f t="shared" si="94"/>
        <v>5.5453254459612952E-2</v>
      </c>
      <c r="L499" s="17">
        <f t="shared" si="94"/>
        <v>7.5710486245890565E-2</v>
      </c>
      <c r="M499" s="17">
        <f t="shared" si="94"/>
        <v>4.2584549368371409E-2</v>
      </c>
    </row>
    <row r="500" spans="6:17" x14ac:dyDescent="0.2">
      <c r="F500">
        <v>1106</v>
      </c>
      <c r="G500">
        <f t="shared" si="91"/>
        <v>1.1060000000000001</v>
      </c>
      <c r="H500">
        <f t="shared" si="93"/>
        <v>833</v>
      </c>
      <c r="I500" s="17">
        <f t="shared" si="94"/>
        <v>3.0602230647112587E-2</v>
      </c>
      <c r="J500" s="17">
        <f t="shared" si="94"/>
        <v>3.3267364955085699E-2</v>
      </c>
      <c r="K500" s="17">
        <f t="shared" si="94"/>
        <v>5.5463293962288711E-2</v>
      </c>
      <c r="L500" s="17">
        <f t="shared" si="94"/>
        <v>7.5745439138310069E-2</v>
      </c>
      <c r="M500" s="17">
        <f t="shared" si="94"/>
        <v>4.2596988180958972E-2</v>
      </c>
    </row>
    <row r="501" spans="6:17" x14ac:dyDescent="0.2">
      <c r="F501">
        <v>1107</v>
      </c>
      <c r="G501">
        <f t="shared" si="91"/>
        <v>1.107</v>
      </c>
      <c r="H501">
        <f t="shared" si="93"/>
        <v>834</v>
      </c>
      <c r="I501" s="17">
        <f t="shared" si="94"/>
        <v>3.0606217290726254E-2</v>
      </c>
      <c r="J501" s="17">
        <f t="shared" si="94"/>
        <v>3.3272475801061775E-2</v>
      </c>
      <c r="K501" s="17">
        <f t="shared" si="94"/>
        <v>5.5473318279818669E-2</v>
      </c>
      <c r="L501" s="17">
        <f t="shared" si="94"/>
        <v>7.5780348614014711E-2</v>
      </c>
      <c r="M501" s="17">
        <f t="shared" si="94"/>
        <v>4.2609424090974755E-2</v>
      </c>
      <c r="Q501" s="1"/>
    </row>
    <row r="502" spans="6:17" x14ac:dyDescent="0.2">
      <c r="F502">
        <v>1108</v>
      </c>
      <c r="G502">
        <f t="shared" si="91"/>
        <v>1.1080000000000001</v>
      </c>
      <c r="H502">
        <f t="shared" si="93"/>
        <v>835</v>
      </c>
      <c r="I502" s="17">
        <f t="shared" si="94"/>
        <v>3.0610207749038585E-2</v>
      </c>
      <c r="J502" s="17">
        <f t="shared" si="94"/>
        <v>3.3277580656055496E-2</v>
      </c>
      <c r="K502" s="17">
        <f t="shared" si="94"/>
        <v>5.5483327461870249E-2</v>
      </c>
      <c r="L502" s="17">
        <f t="shared" si="94"/>
        <v>7.5815214698362665E-2</v>
      </c>
      <c r="M502" s="17">
        <f t="shared" si="94"/>
        <v>4.2621857082023366E-2</v>
      </c>
    </row>
    <row r="503" spans="6:17" x14ac:dyDescent="0.2">
      <c r="F503">
        <v>1109</v>
      </c>
      <c r="G503">
        <f t="shared" si="91"/>
        <v>1.109</v>
      </c>
      <c r="H503">
        <f t="shared" si="93"/>
        <v>836</v>
      </c>
      <c r="I503" s="17">
        <f t="shared" si="94"/>
        <v>3.0614202007696264E-2</v>
      </c>
      <c r="J503" s="17">
        <f t="shared" si="94"/>
        <v>3.3282679520685858E-2</v>
      </c>
      <c r="K503" s="17">
        <f t="shared" si="94"/>
        <v>5.5493321558101938E-2</v>
      </c>
      <c r="L503" s="17">
        <f t="shared" si="94"/>
        <v>7.5850037416756361E-2</v>
      </c>
      <c r="M503" s="17">
        <f t="shared" si="94"/>
        <v>4.2634287137714763E-2</v>
      </c>
      <c r="Q503" s="1"/>
    </row>
    <row r="504" spans="6:17" x14ac:dyDescent="0.2">
      <c r="F504">
        <v>1110</v>
      </c>
      <c r="G504">
        <f t="shared" si="91"/>
        <v>1.1100000000000001</v>
      </c>
      <c r="H504">
        <f t="shared" si="93"/>
        <v>837</v>
      </c>
      <c r="I504" s="17">
        <f t="shared" si="94"/>
        <v>3.0618200052335686E-2</v>
      </c>
      <c r="J504" s="17">
        <f t="shared" si="94"/>
        <v>3.3287772395606E-2</v>
      </c>
      <c r="K504" s="17">
        <f t="shared" si="94"/>
        <v>5.5503300618163394E-2</v>
      </c>
      <c r="L504" s="17">
        <f t="shared" si="94"/>
        <v>7.5884816794642262E-2</v>
      </c>
      <c r="M504" s="17">
        <f t="shared" si="94"/>
        <v>4.2646714241664226E-2</v>
      </c>
    </row>
    <row r="505" spans="6:17" x14ac:dyDescent="0.2">
      <c r="F505">
        <v>1111</v>
      </c>
      <c r="G505">
        <f t="shared" si="91"/>
        <v>1.111</v>
      </c>
      <c r="H505">
        <f t="shared" si="93"/>
        <v>838</v>
      </c>
      <c r="I505" s="17">
        <f t="shared" si="94"/>
        <v>3.0622201868583034E-2</v>
      </c>
      <c r="J505" s="17">
        <f t="shared" si="94"/>
        <v>3.3292859281503114E-2</v>
      </c>
      <c r="K505" s="17">
        <f t="shared" si="94"/>
        <v>5.5513264691695458E-2</v>
      </c>
      <c r="L505" s="17">
        <f t="shared" si="94"/>
        <v>7.591955285751055E-2</v>
      </c>
      <c r="M505" s="17">
        <f t="shared" si="94"/>
        <v>4.2659138377492363E-2</v>
      </c>
      <c r="Q505" s="1"/>
    </row>
    <row r="506" spans="6:17" x14ac:dyDescent="0.2">
      <c r="F506">
        <v>1112</v>
      </c>
      <c r="G506">
        <f t="shared" si="91"/>
        <v>1.1120000000000001</v>
      </c>
      <c r="H506">
        <f t="shared" si="93"/>
        <v>839</v>
      </c>
      <c r="I506" s="17">
        <f t="shared" si="94"/>
        <v>3.0626207442054302E-2</v>
      </c>
      <c r="J506" s="17">
        <f t="shared" si="94"/>
        <v>3.3297940179098276E-2</v>
      </c>
      <c r="K506" s="17">
        <f t="shared" si="94"/>
        <v>5.5523213828330156E-2</v>
      </c>
      <c r="L506" s="17">
        <f t="shared" si="94"/>
        <v>7.595424563089502E-2</v>
      </c>
      <c r="M506" s="17">
        <f t="shared" si="94"/>
        <v>4.2671559528825016E-2</v>
      </c>
    </row>
    <row r="507" spans="6:17" x14ac:dyDescent="0.2">
      <c r="F507">
        <v>1113</v>
      </c>
      <c r="G507">
        <f t="shared" si="91"/>
        <v>1.113</v>
      </c>
      <c r="H507">
        <f t="shared" si="93"/>
        <v>840</v>
      </c>
      <c r="I507" s="17">
        <f t="shared" ref="I507:M518" si="95">(I$159+I$160*$G507+I$161*($G507^2)+I$162*($G507^3)+I$163/($G507^2))/1000</f>
        <v>3.0630216758355346E-2</v>
      </c>
      <c r="J507" s="17">
        <f t="shared" si="95"/>
        <v>3.3303015089146182E-2</v>
      </c>
      <c r="K507" s="17">
        <f t="shared" si="95"/>
        <v>5.5533148077690858E-2</v>
      </c>
      <c r="L507" s="17">
        <f t="shared" si="95"/>
        <v>7.5988895140372673E-2</v>
      </c>
      <c r="M507" s="17">
        <f t="shared" si="95"/>
        <v>4.2683977679293265E-2</v>
      </c>
      <c r="Q507" s="1"/>
    </row>
    <row r="508" spans="6:17" x14ac:dyDescent="0.2">
      <c r="F508">
        <v>1114</v>
      </c>
      <c r="G508">
        <f t="shared" si="91"/>
        <v>1.1140000000000001</v>
      </c>
      <c r="H508">
        <f t="shared" si="93"/>
        <v>841</v>
      </c>
      <c r="I508" s="17">
        <f t="shared" si="95"/>
        <v>3.0634229803082027E-2</v>
      </c>
      <c r="J508" s="17">
        <f t="shared" si="95"/>
        <v>3.3308084012435055E-2</v>
      </c>
      <c r="K508" s="17">
        <f t="shared" si="95"/>
        <v>5.554306748939225E-2</v>
      </c>
      <c r="L508" s="17">
        <f t="shared" si="95"/>
        <v>7.6023501411563679E-2</v>
      </c>
      <c r="M508" s="17">
        <f t="shared" si="95"/>
        <v>4.2696392812533464E-2</v>
      </c>
    </row>
    <row r="509" spans="6:17" x14ac:dyDescent="0.2">
      <c r="F509">
        <v>1115</v>
      </c>
      <c r="G509">
        <f t="shared" si="91"/>
        <v>1.115</v>
      </c>
      <c r="H509">
        <f t="shared" si="93"/>
        <v>842</v>
      </c>
      <c r="I509" s="17">
        <f t="shared" si="95"/>
        <v>3.0638246561820116E-2</v>
      </c>
      <c r="J509" s="17">
        <f t="shared" si="95"/>
        <v>3.3313146949786376E-2</v>
      </c>
      <c r="K509" s="17">
        <f t="shared" si="95"/>
        <v>5.5552972113040326E-2</v>
      </c>
      <c r="L509" s="17">
        <f t="shared" si="95"/>
        <v>7.6058064470130957E-2</v>
      </c>
      <c r="M509" s="17">
        <f t="shared" si="95"/>
        <v>4.2708804912187051E-2</v>
      </c>
      <c r="Q509" s="1"/>
    </row>
    <row r="510" spans="6:17" x14ac:dyDescent="0.2">
      <c r="F510">
        <v>1116</v>
      </c>
      <c r="G510">
        <f t="shared" si="91"/>
        <v>1.1160000000000001</v>
      </c>
      <c r="H510">
        <f t="shared" si="93"/>
        <v>843</v>
      </c>
      <c r="I510" s="17">
        <f t="shared" si="95"/>
        <v>3.0642267020145476E-2</v>
      </c>
      <c r="J510" s="17">
        <f t="shared" si="95"/>
        <v>3.3318203902054817E-2</v>
      </c>
      <c r="K510" s="17">
        <f t="shared" si="95"/>
        <v>5.5562861998232613E-2</v>
      </c>
      <c r="L510" s="17">
        <f t="shared" si="95"/>
        <v>7.6092584341780053E-2</v>
      </c>
      <c r="M510" s="17">
        <f t="shared" si="95"/>
        <v>4.272121396190072E-2</v>
      </c>
    </row>
    <row r="511" spans="6:17" x14ac:dyDescent="0.2">
      <c r="F511">
        <v>1117</v>
      </c>
      <c r="G511">
        <f t="shared" si="91"/>
        <v>1.117</v>
      </c>
      <c r="H511">
        <f t="shared" si="93"/>
        <v>844</v>
      </c>
      <c r="I511" s="17">
        <f t="shared" si="95"/>
        <v>3.0646291163624068E-2</v>
      </c>
      <c r="J511" s="17">
        <f t="shared" si="95"/>
        <v>3.3323254870127939E-2</v>
      </c>
      <c r="K511" s="17">
        <f t="shared" si="95"/>
        <v>5.5572737194557999E-2</v>
      </c>
      <c r="L511" s="17">
        <f t="shared" si="95"/>
        <v>7.6127061052258943E-2</v>
      </c>
      <c r="M511" s="17">
        <f t="shared" si="95"/>
        <v>4.2733619945326262E-2</v>
      </c>
      <c r="Q511" s="1"/>
    </row>
    <row r="512" spans="6:17" x14ac:dyDescent="0.2">
      <c r="F512">
        <v>1118</v>
      </c>
      <c r="G512">
        <f t="shared" si="91"/>
        <v>1.1180000000000001</v>
      </c>
      <c r="H512">
        <f t="shared" si="93"/>
        <v>845</v>
      </c>
      <c r="I512" s="17">
        <f t="shared" si="95"/>
        <v>3.065031897781198E-2</v>
      </c>
      <c r="J512" s="17">
        <f t="shared" si="95"/>
        <v>3.3328299854926101E-2</v>
      </c>
      <c r="K512" s="17">
        <f t="shared" si="95"/>
        <v>5.5582597751596963E-2</v>
      </c>
      <c r="L512" s="17">
        <f t="shared" si="95"/>
        <v>7.6161494627357676E-2</v>
      </c>
      <c r="M512" s="17">
        <f t="shared" si="95"/>
        <v>4.2746022846120522E-2</v>
      </c>
    </row>
    <row r="513" spans="6:17" x14ac:dyDescent="0.2">
      <c r="F513">
        <v>1119</v>
      </c>
      <c r="G513">
        <f t="shared" si="91"/>
        <v>1.119</v>
      </c>
      <c r="H513">
        <f t="shared" si="93"/>
        <v>846</v>
      </c>
      <c r="I513" s="17">
        <f t="shared" si="95"/>
        <v>3.065435044825553E-2</v>
      </c>
      <c r="J513" s="17">
        <f t="shared" si="95"/>
        <v>3.3333338857402257E-2</v>
      </c>
      <c r="K513" s="17">
        <f t="shared" si="95"/>
        <v>5.5592443718921476E-2</v>
      </c>
      <c r="L513" s="17">
        <f t="shared" si="95"/>
        <v>7.6195885092908255E-2</v>
      </c>
      <c r="M513" s="17">
        <f t="shared" si="95"/>
        <v>4.2758422647945493E-2</v>
      </c>
      <c r="Q513" s="1"/>
    </row>
    <row r="514" spans="6:17" x14ac:dyDescent="0.2">
      <c r="F514">
        <v>1120</v>
      </c>
      <c r="G514">
        <f t="shared" si="91"/>
        <v>1.1200000000000001</v>
      </c>
      <c r="H514">
        <f t="shared" si="93"/>
        <v>847</v>
      </c>
      <c r="I514" s="17">
        <f t="shared" si="95"/>
        <v>3.0658385560491264E-2</v>
      </c>
      <c r="J514" s="17">
        <f t="shared" si="95"/>
        <v>3.3338371878541793E-2</v>
      </c>
      <c r="K514" s="17">
        <f t="shared" si="95"/>
        <v>5.5602275146095191E-2</v>
      </c>
      <c r="L514" s="17">
        <f t="shared" si="95"/>
        <v>7.6230232474784415E-2</v>
      </c>
      <c r="M514" s="17">
        <f t="shared" si="95"/>
        <v>4.277081933446817E-2</v>
      </c>
    </row>
    <row r="515" spans="6:17" x14ac:dyDescent="0.2">
      <c r="F515">
        <v>1121</v>
      </c>
      <c r="G515">
        <f t="shared" si="91"/>
        <v>1.121</v>
      </c>
      <c r="H515">
        <f t="shared" si="93"/>
        <v>848</v>
      </c>
      <c r="I515" s="17">
        <f t="shared" si="95"/>
        <v>3.0662424300046068E-2</v>
      </c>
      <c r="J515" s="17">
        <f t="shared" si="95"/>
        <v>3.3343398919362319E-2</v>
      </c>
      <c r="K515" s="17">
        <f t="shared" si="95"/>
        <v>5.5612092082673314E-2</v>
      </c>
      <c r="L515" s="17">
        <f t="shared" si="95"/>
        <v>7.62645367989013E-2</v>
      </c>
      <c r="M515" s="17">
        <f t="shared" si="95"/>
        <v>4.2783212889360572E-2</v>
      </c>
      <c r="Q515" s="1"/>
    </row>
    <row r="516" spans="6:17" x14ac:dyDescent="0.2">
      <c r="F516">
        <v>1122</v>
      </c>
      <c r="G516">
        <f t="shared" si="91"/>
        <v>1.1220000000000001</v>
      </c>
      <c r="H516">
        <f t="shared" si="93"/>
        <v>849</v>
      </c>
      <c r="I516" s="17">
        <f t="shared" si="95"/>
        <v>3.0666466652437174E-2</v>
      </c>
      <c r="J516" s="17">
        <f t="shared" si="95"/>
        <v>3.3348419980913542E-2</v>
      </c>
      <c r="K516" s="17">
        <f t="shared" si="95"/>
        <v>5.5621894578202831E-2</v>
      </c>
      <c r="L516" s="17">
        <f t="shared" si="95"/>
        <v>7.6298798091215411E-2</v>
      </c>
      <c r="M516" s="17">
        <f t="shared" si="95"/>
        <v>4.2795603296299722E-2</v>
      </c>
    </row>
    <row r="517" spans="6:17" x14ac:dyDescent="0.2">
      <c r="F517">
        <v>1123</v>
      </c>
      <c r="G517">
        <f t="shared" si="91"/>
        <v>1.123</v>
      </c>
      <c r="H517">
        <f t="shared" si="93"/>
        <v>850</v>
      </c>
      <c r="I517" s="17">
        <f t="shared" si="95"/>
        <v>3.0670512603172207E-2</v>
      </c>
      <c r="J517" s="17">
        <f t="shared" si="95"/>
        <v>3.3353435064277057E-2</v>
      </c>
      <c r="K517" s="17">
        <f t="shared" si="95"/>
        <v>5.5631682682222419E-2</v>
      </c>
      <c r="L517" s="17">
        <f t="shared" si="95"/>
        <v>7.6333016377724133E-2</v>
      </c>
      <c r="M517" s="17">
        <f t="shared" si="95"/>
        <v>4.2807990538967625E-2</v>
      </c>
      <c r="Q517" s="1"/>
    </row>
    <row r="518" spans="6:17" x14ac:dyDescent="0.2">
      <c r="F518">
        <v>1124</v>
      </c>
      <c r="G518">
        <f t="shared" si="91"/>
        <v>1.1240000000000001</v>
      </c>
      <c r="H518">
        <f t="shared" si="93"/>
        <v>851</v>
      </c>
      <c r="I518" s="17">
        <f t="shared" si="95"/>
        <v>3.067456213774928E-2</v>
      </c>
      <c r="J518" s="17">
        <f t="shared" si="95"/>
        <v>3.3358444170566222E-2</v>
      </c>
      <c r="K518" s="17">
        <f t="shared" si="95"/>
        <v>5.5641456444262542E-2</v>
      </c>
      <c r="L518" s="17">
        <f t="shared" si="95"/>
        <v>7.6367191684465818E-2</v>
      </c>
      <c r="M518" s="17">
        <f t="shared" si="95"/>
        <v>4.2820374601051203E-2</v>
      </c>
    </row>
    <row r="519" spans="6:17" x14ac:dyDescent="0.2">
      <c r="Q519" s="1"/>
    </row>
    <row r="521" spans="6:17" x14ac:dyDescent="0.2">
      <c r="Q521" s="1"/>
    </row>
    <row r="523" spans="6:17" x14ac:dyDescent="0.2">
      <c r="Q523" s="1"/>
    </row>
    <row r="525" spans="6:17" x14ac:dyDescent="0.2">
      <c r="Q525" s="1"/>
    </row>
    <row r="527" spans="6:17" x14ac:dyDescent="0.2">
      <c r="Q527" s="1"/>
    </row>
    <row r="529" spans="17:17" x14ac:dyDescent="0.2">
      <c r="Q529" s="1"/>
    </row>
    <row r="531" spans="17:17" x14ac:dyDescent="0.2">
      <c r="Q531" s="1"/>
    </row>
    <row r="533" spans="17:17" x14ac:dyDescent="0.2">
      <c r="Q533" s="1"/>
    </row>
    <row r="535" spans="17:17" x14ac:dyDescent="0.2">
      <c r="Q535" s="1"/>
    </row>
    <row r="537" spans="17:17" x14ac:dyDescent="0.2">
      <c r="Q537" s="1"/>
    </row>
    <row r="539" spans="17:17" x14ac:dyDescent="0.2">
      <c r="Q539" s="1"/>
    </row>
    <row r="541" spans="17:17" x14ac:dyDescent="0.2">
      <c r="Q541" s="1"/>
    </row>
    <row r="543" spans="17:17" x14ac:dyDescent="0.2">
      <c r="Q543" s="1"/>
    </row>
    <row r="545" spans="17:17" x14ac:dyDescent="0.2">
      <c r="Q545" s="1"/>
    </row>
    <row r="547" spans="17:17" x14ac:dyDescent="0.2">
      <c r="Q547" s="1"/>
    </row>
    <row r="549" spans="17:17" x14ac:dyDescent="0.2">
      <c r="Q549" s="1"/>
    </row>
    <row r="551" spans="17:17" x14ac:dyDescent="0.2">
      <c r="Q551" s="1"/>
    </row>
    <row r="553" spans="17:17" x14ac:dyDescent="0.2">
      <c r="Q553" s="1"/>
    </row>
    <row r="555" spans="17:17" x14ac:dyDescent="0.2">
      <c r="Q555" s="1"/>
    </row>
    <row r="557" spans="17:17" x14ac:dyDescent="0.2">
      <c r="Q557" s="1"/>
    </row>
    <row r="559" spans="17:17" x14ac:dyDescent="0.2">
      <c r="Q559" s="1"/>
    </row>
    <row r="561" spans="17:17" x14ac:dyDescent="0.2">
      <c r="Q561" s="1"/>
    </row>
    <row r="563" spans="17:17" x14ac:dyDescent="0.2">
      <c r="Q563" s="1"/>
    </row>
  </sheetData>
  <hyperlinks>
    <hyperlink ref="T14" r:id="rId1" xr:uid="{6038DBF6-39E2-3745-8DF5-ACD5D6741668}"/>
  </hyperlinks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B056-27B6-FE4F-BCD5-4C3C357FA626}">
  <dimension ref="A1:BI563"/>
  <sheetViews>
    <sheetView topLeftCell="AD41" zoomScale="86" zoomScaleNormal="60" workbookViewId="0">
      <selection activeCell="E40" sqref="E40"/>
    </sheetView>
  </sheetViews>
  <sheetFormatPr baseColWidth="10" defaultRowHeight="16" x14ac:dyDescent="0.2"/>
  <cols>
    <col min="4" max="4" width="12.83203125" bestFit="1" customWidth="1"/>
    <col min="33" max="33" width="10.83203125" customWidth="1"/>
  </cols>
  <sheetData>
    <row r="1" spans="6:47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6:47" x14ac:dyDescent="0.2">
      <c r="F2" t="s">
        <v>7</v>
      </c>
      <c r="G2">
        <v>0</v>
      </c>
      <c r="H2">
        <v>4.8</v>
      </c>
      <c r="I2">
        <v>1.1000000000000001</v>
      </c>
      <c r="J2">
        <v>51.9</v>
      </c>
      <c r="K2">
        <v>74.599999999999994</v>
      </c>
      <c r="L2">
        <v>99.99</v>
      </c>
      <c r="V2" s="9"/>
      <c r="W2" s="4"/>
      <c r="AA2" s="9"/>
    </row>
    <row r="3" spans="6:47" x14ac:dyDescent="0.2">
      <c r="F3" t="s">
        <v>8</v>
      </c>
      <c r="G3">
        <v>1</v>
      </c>
      <c r="H3">
        <v>1</v>
      </c>
      <c r="I3">
        <v>0.3</v>
      </c>
      <c r="J3">
        <v>0.2</v>
      </c>
      <c r="K3">
        <v>0.25</v>
      </c>
      <c r="L3">
        <v>0.01</v>
      </c>
      <c r="V3" s="1"/>
      <c r="AA3" s="19"/>
    </row>
    <row r="4" spans="6:47" x14ac:dyDescent="0.2">
      <c r="F4" t="s">
        <v>9</v>
      </c>
      <c r="G4">
        <v>0</v>
      </c>
      <c r="H4">
        <v>0</v>
      </c>
      <c r="I4">
        <v>0</v>
      </c>
      <c r="J4">
        <v>10.7</v>
      </c>
      <c r="K4">
        <v>5.3</v>
      </c>
      <c r="L4">
        <v>0</v>
      </c>
      <c r="V4" s="1"/>
      <c r="AA4" s="9"/>
      <c r="AN4" s="2" t="s">
        <v>276</v>
      </c>
    </row>
    <row r="5" spans="6:47" x14ac:dyDescent="0.2">
      <c r="F5" t="s">
        <v>10</v>
      </c>
      <c r="G5">
        <v>0.5</v>
      </c>
      <c r="H5">
        <v>0.5</v>
      </c>
      <c r="I5">
        <v>0.1</v>
      </c>
      <c r="J5">
        <v>5.0999999999999996</v>
      </c>
      <c r="K5">
        <v>14.8</v>
      </c>
      <c r="L5">
        <v>0</v>
      </c>
      <c r="AA5" s="19"/>
      <c r="AN5" t="s">
        <v>272</v>
      </c>
      <c r="AO5" t="s">
        <v>273</v>
      </c>
      <c r="AP5" t="s">
        <v>274</v>
      </c>
      <c r="AQ5" t="s">
        <v>275</v>
      </c>
      <c r="AR5" t="s">
        <v>0</v>
      </c>
      <c r="AS5" t="s">
        <v>192</v>
      </c>
      <c r="AT5" t="s">
        <v>132</v>
      </c>
      <c r="AU5" t="s">
        <v>131</v>
      </c>
    </row>
    <row r="6" spans="6:47" x14ac:dyDescent="0.2">
      <c r="F6" t="s">
        <v>11</v>
      </c>
      <c r="G6">
        <v>95</v>
      </c>
      <c r="H6">
        <v>90.4</v>
      </c>
      <c r="I6">
        <v>26.1</v>
      </c>
      <c r="J6">
        <v>3.8</v>
      </c>
      <c r="K6">
        <v>4.9000000000000004</v>
      </c>
      <c r="L6">
        <v>0</v>
      </c>
      <c r="AA6" s="9"/>
      <c r="AN6">
        <v>626</v>
      </c>
      <c r="AO6">
        <f>$AN$9/AN6</f>
        <v>7.9872204472843447E-3</v>
      </c>
      <c r="AP6">
        <f>AQ27/$AQ$30</f>
        <v>4.7907332122541089</v>
      </c>
      <c r="AQ6">
        <f>$AT$9*AO6*AP6</f>
        <v>1811.6996155805537</v>
      </c>
      <c r="AR6" t="s">
        <v>7</v>
      </c>
      <c r="AS6" s="19">
        <f>AT6/$AT$13*100</f>
        <v>3.5844871470716826</v>
      </c>
      <c r="AT6">
        <f>AQ6</f>
        <v>1811.6996155805537</v>
      </c>
    </row>
    <row r="7" spans="6:47" x14ac:dyDescent="0.2">
      <c r="F7" t="s">
        <v>12</v>
      </c>
      <c r="G7">
        <v>3.5</v>
      </c>
      <c r="H7">
        <v>3.3</v>
      </c>
      <c r="I7">
        <v>1</v>
      </c>
      <c r="J7">
        <v>0</v>
      </c>
      <c r="K7">
        <v>0</v>
      </c>
      <c r="L7">
        <v>0</v>
      </c>
      <c r="AA7" s="9"/>
      <c r="AN7">
        <v>364</v>
      </c>
      <c r="AO7">
        <f t="shared" ref="AO7:AO11" si="0">$AN$9/AN7</f>
        <v>1.3736263736263736E-2</v>
      </c>
      <c r="AP7">
        <f t="shared" ref="AP7:AP11" si="1">AQ28/$AQ$30</f>
        <v>5.0140283194667484E-2</v>
      </c>
      <c r="AQ7">
        <f t="shared" ref="AQ7:AQ11" si="2">$AT$9*AO7*AP7</f>
        <v>32.609484834789548</v>
      </c>
      <c r="AR7" t="s">
        <v>8</v>
      </c>
      <c r="AS7" s="19">
        <f t="shared" ref="AS7:AS12" si="3">AT7/$AT$13*100</f>
        <v>6.4518575959114269E-2</v>
      </c>
      <c r="AT7">
        <f t="shared" ref="AT7:AT11" si="4">AQ7</f>
        <v>32.609484834789548</v>
      </c>
    </row>
    <row r="8" spans="6:47" x14ac:dyDescent="0.2">
      <c r="F8" t="s">
        <v>13</v>
      </c>
      <c r="G8">
        <v>0</v>
      </c>
      <c r="H8">
        <v>0</v>
      </c>
      <c r="I8">
        <v>71.400000000000006</v>
      </c>
      <c r="J8">
        <v>28.3</v>
      </c>
      <c r="K8">
        <v>0.15</v>
      </c>
      <c r="L8">
        <v>0</v>
      </c>
      <c r="P8" s="1"/>
      <c r="AA8" s="19"/>
      <c r="AN8">
        <v>239</v>
      </c>
      <c r="AO8">
        <f t="shared" si="0"/>
        <v>2.0920502092050208E-2</v>
      </c>
      <c r="AP8">
        <f t="shared" si="1"/>
        <v>0.6796103223209552</v>
      </c>
      <c r="AQ8">
        <f t="shared" si="2"/>
        <v>673.16356942473328</v>
      </c>
      <c r="AR8" t="s">
        <v>9</v>
      </c>
      <c r="AS8" s="19">
        <f t="shared" si="3"/>
        <v>1.3318687831738771</v>
      </c>
      <c r="AT8">
        <f t="shared" si="4"/>
        <v>673.16356942473328</v>
      </c>
    </row>
    <row r="9" spans="6:47" x14ac:dyDescent="0.2">
      <c r="F9" t="s">
        <v>14</v>
      </c>
      <c r="G9">
        <v>2160</v>
      </c>
      <c r="H9">
        <v>2070</v>
      </c>
      <c r="I9">
        <v>7160</v>
      </c>
      <c r="J9">
        <v>10450</v>
      </c>
      <c r="K9">
        <v>8180</v>
      </c>
      <c r="L9">
        <v>5000.5</v>
      </c>
      <c r="P9" s="1"/>
      <c r="AA9" s="9"/>
      <c r="AN9">
        <v>5</v>
      </c>
      <c r="AO9">
        <f t="shared" si="0"/>
        <v>1</v>
      </c>
      <c r="AP9">
        <f t="shared" si="1"/>
        <v>1</v>
      </c>
      <c r="AQ9">
        <f t="shared" si="2"/>
        <v>47346.571353732506</v>
      </c>
      <c r="AR9" t="s">
        <v>10</v>
      </c>
      <c r="AS9" s="19">
        <f t="shared" si="3"/>
        <v>93.676222601053212</v>
      </c>
      <c r="AT9">
        <f>AQ30-AV30</f>
        <v>47346.571353732506</v>
      </c>
      <c r="AU9" s="5">
        <f>AT9*44/1000</f>
        <v>2083.2491395642305</v>
      </c>
    </row>
    <row r="10" spans="6:47" x14ac:dyDescent="0.2">
      <c r="F10" t="s">
        <v>15</v>
      </c>
      <c r="G10">
        <v>20</v>
      </c>
      <c r="H10">
        <v>390</v>
      </c>
      <c r="I10">
        <v>520</v>
      </c>
      <c r="J10">
        <v>850</v>
      </c>
      <c r="K10">
        <v>20</v>
      </c>
      <c r="L10">
        <v>20</v>
      </c>
      <c r="P10" s="1"/>
      <c r="AA10" s="17"/>
      <c r="AN10">
        <v>91.8</v>
      </c>
      <c r="AO10">
        <f t="shared" si="0"/>
        <v>5.4466230936819175E-2</v>
      </c>
      <c r="AP10">
        <f t="shared" si="1"/>
        <v>6.4688990144157549E-2</v>
      </c>
      <c r="AQ10">
        <f t="shared" si="2"/>
        <v>166.81927492708357</v>
      </c>
      <c r="AR10" t="s">
        <v>11</v>
      </c>
      <c r="AS10" s="19">
        <f t="shared" si="3"/>
        <v>0.33005556865911984</v>
      </c>
      <c r="AT10">
        <f t="shared" si="4"/>
        <v>166.81927492708357</v>
      </c>
    </row>
    <row r="11" spans="6:47" x14ac:dyDescent="0.2">
      <c r="F11" t="s">
        <v>16</v>
      </c>
      <c r="G11">
        <v>2</v>
      </c>
      <c r="H11">
        <v>1.9</v>
      </c>
      <c r="I11">
        <v>1.9</v>
      </c>
      <c r="J11">
        <v>1.7</v>
      </c>
      <c r="K11">
        <v>1.6</v>
      </c>
      <c r="L11">
        <v>1.5</v>
      </c>
      <c r="P11" s="1"/>
      <c r="AA11" s="17"/>
      <c r="AN11">
        <v>10.25</v>
      </c>
      <c r="AO11">
        <f t="shared" si="0"/>
        <v>0.48780487804878048</v>
      </c>
      <c r="AP11">
        <f t="shared" si="1"/>
        <v>0</v>
      </c>
      <c r="AQ11">
        <f t="shared" si="2"/>
        <v>0</v>
      </c>
      <c r="AR11" t="s">
        <v>12</v>
      </c>
      <c r="AS11" s="19">
        <f t="shared" si="3"/>
        <v>0</v>
      </c>
      <c r="AT11">
        <f t="shared" si="4"/>
        <v>0</v>
      </c>
    </row>
    <row r="12" spans="6:47" x14ac:dyDescent="0.2">
      <c r="O12" s="1"/>
      <c r="P12" s="2" t="s">
        <v>188</v>
      </c>
      <c r="AR12" t="s">
        <v>13</v>
      </c>
      <c r="AS12" s="19">
        <f t="shared" si="3"/>
        <v>1.0128473240829878</v>
      </c>
      <c r="AT12">
        <f>AQ33</f>
        <v>511.92124072254222</v>
      </c>
    </row>
    <row r="13" spans="6:47" x14ac:dyDescent="0.2">
      <c r="N13" t="s">
        <v>0</v>
      </c>
      <c r="O13" t="s">
        <v>215</v>
      </c>
      <c r="P13" t="s">
        <v>278</v>
      </c>
      <c r="Q13" t="s">
        <v>132</v>
      </c>
      <c r="R13" t="s">
        <v>131</v>
      </c>
      <c r="S13" t="s">
        <v>226</v>
      </c>
      <c r="AA13" s="6"/>
      <c r="AB13" s="6"/>
      <c r="AC13" s="6"/>
      <c r="AD13" s="5"/>
      <c r="AR13" t="s">
        <v>14</v>
      </c>
      <c r="AS13" s="9">
        <f>AT13*$E$24*$B$34/$A$34/1000</f>
        <v>1252.2338777640987</v>
      </c>
      <c r="AT13">
        <f>SUM(AT6:AT12)</f>
        <v>50542.784539222208</v>
      </c>
    </row>
    <row r="14" spans="6:47" x14ac:dyDescent="0.2">
      <c r="N14" t="s">
        <v>287</v>
      </c>
      <c r="O14" s="1">
        <v>3166.1</v>
      </c>
      <c r="P14" s="1">
        <f>3166.1-84</f>
        <v>3082.1</v>
      </c>
      <c r="T14" s="4" t="s">
        <v>225</v>
      </c>
      <c r="AR14" t="s">
        <v>15</v>
      </c>
      <c r="AS14" s="1">
        <v>20</v>
      </c>
    </row>
    <row r="15" spans="6:47" x14ac:dyDescent="0.2">
      <c r="N15" t="s">
        <v>13</v>
      </c>
      <c r="O15" s="1">
        <v>100</v>
      </c>
      <c r="Q15">
        <f>T33-L33</f>
        <v>147111.22523687096</v>
      </c>
      <c r="R15" s="5">
        <f>Q15*18/1000</f>
        <v>2648.0020542636776</v>
      </c>
      <c r="S15">
        <f>P14*R15</f>
        <v>8161407.1314460803</v>
      </c>
      <c r="W15" s="1"/>
      <c r="X15" s="4"/>
      <c r="AR15" t="s">
        <v>16</v>
      </c>
      <c r="AS15" s="1">
        <v>0.1</v>
      </c>
    </row>
    <row r="16" spans="6:47" x14ac:dyDescent="0.2">
      <c r="N16" t="s">
        <v>14</v>
      </c>
      <c r="O16" s="9">
        <f>Q15*$E$24*$B$34/$A$34/1000</f>
        <v>3644.7865253256487</v>
      </c>
      <c r="W16" s="1"/>
    </row>
    <row r="17" spans="2:53" x14ac:dyDescent="0.2">
      <c r="N17" t="s">
        <v>15</v>
      </c>
      <c r="O17" s="20">
        <v>390</v>
      </c>
      <c r="P17" s="1">
        <v>390</v>
      </c>
      <c r="Q17" s="4"/>
      <c r="W17" s="1"/>
      <c r="AM17" t="s">
        <v>0</v>
      </c>
      <c r="AN17" t="s">
        <v>236</v>
      </c>
      <c r="AO17" t="s">
        <v>132</v>
      </c>
      <c r="AP17" t="s">
        <v>131</v>
      </c>
    </row>
    <row r="18" spans="2:53" x14ac:dyDescent="0.2">
      <c r="N18" t="s">
        <v>16</v>
      </c>
      <c r="O18" s="20">
        <v>5.3</v>
      </c>
      <c r="P18" s="1">
        <v>5.3</v>
      </c>
      <c r="W18" s="1"/>
      <c r="AM18" t="s">
        <v>137</v>
      </c>
      <c r="AN18" s="1">
        <v>84</v>
      </c>
    </row>
    <row r="19" spans="2:53" x14ac:dyDescent="0.2">
      <c r="AM19" t="s">
        <v>13</v>
      </c>
      <c r="AN19" s="1">
        <v>100</v>
      </c>
      <c r="AO19" s="5">
        <f>AC33-AQ33</f>
        <v>81109.347615949213</v>
      </c>
      <c r="AP19" s="5">
        <f>AO19*18/1000</f>
        <v>1459.9682570870859</v>
      </c>
      <c r="AQ19" s="23">
        <f>AN18*AP19</f>
        <v>122637.33359531521</v>
      </c>
    </row>
    <row r="20" spans="2:53" x14ac:dyDescent="0.2">
      <c r="M20" t="s">
        <v>194</v>
      </c>
      <c r="AM20" t="s">
        <v>15</v>
      </c>
      <c r="AN20" s="1">
        <v>20</v>
      </c>
      <c r="AO20" s="4" t="s">
        <v>225</v>
      </c>
    </row>
    <row r="21" spans="2:53" x14ac:dyDescent="0.2">
      <c r="M21" s="2">
        <v>2.5</v>
      </c>
      <c r="AM21" t="s">
        <v>16</v>
      </c>
      <c r="AN21" s="1">
        <v>0.1</v>
      </c>
    </row>
    <row r="22" spans="2:53" x14ac:dyDescent="0.2">
      <c r="AH22" t="s">
        <v>179</v>
      </c>
      <c r="AI22" t="s">
        <v>180</v>
      </c>
    </row>
    <row r="23" spans="2:53" x14ac:dyDescent="0.2">
      <c r="E23" t="s">
        <v>196</v>
      </c>
      <c r="AD23" t="s">
        <v>317</v>
      </c>
      <c r="AH23" s="20">
        <v>313.89263050949205</v>
      </c>
      <c r="AI23" s="20">
        <v>440</v>
      </c>
      <c r="AR23" s="2" t="s">
        <v>267</v>
      </c>
      <c r="AV23" s="18">
        <v>0.82</v>
      </c>
      <c r="AW23" t="s">
        <v>277</v>
      </c>
    </row>
    <row r="24" spans="2:53" x14ac:dyDescent="0.2">
      <c r="E24">
        <v>8.3140000000000006E-2</v>
      </c>
      <c r="AD24" s="1">
        <f>S35</f>
        <v>520</v>
      </c>
    </row>
    <row r="26" spans="2:53" x14ac:dyDescent="0.2">
      <c r="C26" t="s">
        <v>0</v>
      </c>
      <c r="D26" t="s">
        <v>1</v>
      </c>
      <c r="E26" t="s">
        <v>132</v>
      </c>
      <c r="G26" t="s">
        <v>149</v>
      </c>
      <c r="H26" t="s">
        <v>139</v>
      </c>
      <c r="J26" t="s">
        <v>0</v>
      </c>
      <c r="K26" t="s">
        <v>2</v>
      </c>
      <c r="L26" t="s">
        <v>132</v>
      </c>
      <c r="O26" t="s">
        <v>149</v>
      </c>
      <c r="P26" t="s">
        <v>139</v>
      </c>
      <c r="R26" t="s">
        <v>0</v>
      </c>
      <c r="S26" t="s">
        <v>3</v>
      </c>
      <c r="T26" t="s">
        <v>132</v>
      </c>
      <c r="U26" t="s">
        <v>149</v>
      </c>
      <c r="V26" t="s">
        <v>139</v>
      </c>
      <c r="W26" t="s">
        <v>133</v>
      </c>
      <c r="X26" t="s">
        <v>138</v>
      </c>
      <c r="Y26" t="s">
        <v>134</v>
      </c>
      <c r="AA26" t="s">
        <v>0</v>
      </c>
      <c r="AB26" t="s">
        <v>4</v>
      </c>
      <c r="AC26" t="s">
        <v>132</v>
      </c>
      <c r="AD26" t="s">
        <v>149</v>
      </c>
      <c r="AE26" t="s">
        <v>157</v>
      </c>
      <c r="AF26" t="s">
        <v>149</v>
      </c>
      <c r="AG26" t="s">
        <v>157</v>
      </c>
      <c r="AK26" t="s">
        <v>149</v>
      </c>
      <c r="AL26" t="s">
        <v>157</v>
      </c>
      <c r="AO26" t="s">
        <v>0</v>
      </c>
      <c r="AP26" t="s">
        <v>5</v>
      </c>
      <c r="AQ26" t="s">
        <v>132</v>
      </c>
      <c r="AT26" t="s">
        <v>0</v>
      </c>
      <c r="AU26" t="s">
        <v>5</v>
      </c>
      <c r="AV26" t="s">
        <v>132</v>
      </c>
      <c r="AX26" t="s">
        <v>0</v>
      </c>
      <c r="AY26" t="s">
        <v>6</v>
      </c>
      <c r="AZ26" t="s">
        <v>132</v>
      </c>
    </row>
    <row r="27" spans="2:53" x14ac:dyDescent="0.2">
      <c r="C27" t="s">
        <v>7</v>
      </c>
      <c r="D27" s="1">
        <v>0</v>
      </c>
      <c r="E27">
        <f t="shared" ref="E27:E33" si="5">($A$34)*($D$34*D27/100*1000)/($E$24*$B$34)</f>
        <v>0</v>
      </c>
      <c r="G27" cm="1">
        <f t="array" ref="G27:G33">N91:N97</f>
        <v>11.412696539760386</v>
      </c>
      <c r="H27">
        <f t="shared" ref="H27:H33" si="6">G27*L27</f>
        <v>404777.25694770046</v>
      </c>
      <c r="J27" t="s">
        <v>7</v>
      </c>
      <c r="K27" s="19">
        <f>L27/$L$34*100</f>
        <v>28.061118561178137</v>
      </c>
      <c r="L27">
        <f>E27+AI58</f>
        <v>35467.275900792411</v>
      </c>
      <c r="O27" cm="1">
        <f t="array" ref="O27:O33">N99:N105</f>
        <v>3.9119753691091494</v>
      </c>
      <c r="P27" s="5">
        <f>T27*O27</f>
        <v>138747.10973329842</v>
      </c>
      <c r="R27" t="s">
        <v>7</v>
      </c>
      <c r="S27" s="33">
        <f>T27/$T$34*100</f>
        <v>12.967727351550531</v>
      </c>
      <c r="T27">
        <f>L27</f>
        <v>35467.275900792411</v>
      </c>
      <c r="U27" cm="1">
        <f t="array" ref="U27:U33">N107:N113</f>
        <v>17.899022141836681</v>
      </c>
      <c r="V27" s="5">
        <f>T27*U27</f>
        <v>634829.55665891385</v>
      </c>
      <c r="W27" s="17" t="s">
        <v>77</v>
      </c>
      <c r="X27" s="5">
        <f>Z108*AI121</f>
        <v>11665860.386011031</v>
      </c>
      <c r="Y27" t="s">
        <v>122</v>
      </c>
      <c r="AA27" t="s">
        <v>7</v>
      </c>
      <c r="AB27" s="34">
        <v>54.605899999999998</v>
      </c>
      <c r="AC27">
        <f>AB27/100*$AC$34</f>
        <v>209963.62478202954</v>
      </c>
      <c r="AD27" cm="1">
        <f t="array" ref="AD27:AD33">N115:N121</f>
        <v>-17.899022141836681</v>
      </c>
      <c r="AE27" s="5">
        <f>AC27*AD27</f>
        <v>-3758143.5689538359</v>
      </c>
      <c r="AF27" cm="1">
        <f t="array" ref="AF27:AF33">N123:N129</f>
        <v>-6.2076423289603984</v>
      </c>
      <c r="AG27" s="5">
        <f t="shared" ref="AG27:AG33" si="7">AC27*AF27</f>
        <v>-1303379.0847388851</v>
      </c>
      <c r="AK27" cm="1">
        <f t="array" ref="AK27:AK33">N131:N137</f>
        <v>-12.917366163509556</v>
      </c>
      <c r="AL27" s="5">
        <f t="shared" ref="AL27:AL33" si="8">AK27*AV27</f>
        <v>-3178947.2024705377</v>
      </c>
      <c r="AO27" t="s">
        <v>7</v>
      </c>
      <c r="AP27" s="19">
        <f>AQ27/$AQ$34*100</f>
        <v>72.641178173593033</v>
      </c>
      <c r="AQ27">
        <f>AC27+AC29*AH29</f>
        <v>247910.41372115334</v>
      </c>
      <c r="AT27" t="s">
        <v>7</v>
      </c>
      <c r="AU27" s="19">
        <f>AV27/$AV$34*100</f>
        <v>84.646203123965293</v>
      </c>
      <c r="AV27">
        <f>AQ27-AT6</f>
        <v>246098.71410557278</v>
      </c>
      <c r="AX27" t="s">
        <v>7</v>
      </c>
      <c r="AY27" s="1">
        <v>99.99</v>
      </c>
      <c r="AZ27">
        <f>AY27/100*$AZ$34</f>
        <v>201810.48017978889</v>
      </c>
      <c r="BA27">
        <f>AZ27/AV27</f>
        <v>0.82003874304363544</v>
      </c>
    </row>
    <row r="28" spans="2:53" x14ac:dyDescent="0.2">
      <c r="C28" t="s">
        <v>8</v>
      </c>
      <c r="D28" s="1">
        <v>1</v>
      </c>
      <c r="E28">
        <f t="shared" si="5"/>
        <v>551.93428489649318</v>
      </c>
      <c r="G28">
        <v>9.0299095475672946</v>
      </c>
      <c r="H28">
        <f t="shared" si="6"/>
        <v>23365.142408868316</v>
      </c>
      <c r="J28" t="s">
        <v>8</v>
      </c>
      <c r="K28" s="19">
        <f t="shared" ref="K28:K33" si="9">L28/$L$34*100</f>
        <v>2.0472089791702759</v>
      </c>
      <c r="L28">
        <f>E28+AI59</f>
        <v>2587.5278468501392</v>
      </c>
      <c r="O28">
        <v>3.7626703402191102</v>
      </c>
      <c r="P28" s="5">
        <f t="shared" ref="P28:P32" si="10">T28*O28</f>
        <v>9736.0142838340344</v>
      </c>
      <c r="R28" t="s">
        <v>8</v>
      </c>
      <c r="S28" s="33">
        <f t="shared" ref="S28:S32" si="11">T28/$T$34*100</f>
        <v>0.94606520462282051</v>
      </c>
      <c r="T28">
        <f>L28</f>
        <v>2587.5278468501392</v>
      </c>
      <c r="U28">
        <v>18.616532342350759</v>
      </c>
      <c r="V28" s="5">
        <f t="shared" ref="V28:V33" si="12">T28*U28</f>
        <v>48170.795847618836</v>
      </c>
      <c r="W28" s="17" t="s">
        <v>79</v>
      </c>
      <c r="X28">
        <f>Z107*AI126</f>
        <v>-313301.17840005358</v>
      </c>
      <c r="Y28" s="6">
        <v>0.01</v>
      </c>
      <c r="AA28" t="s">
        <v>8</v>
      </c>
      <c r="AB28" s="34">
        <v>0.67479999999999996</v>
      </c>
      <c r="AC28">
        <f>AB28/100*$AC$34</f>
        <v>2594.6546802252788</v>
      </c>
      <c r="AD28">
        <v>-18.616532342350759</v>
      </c>
      <c r="AE28" s="5">
        <f t="shared" ref="AE28:AE33" si="13">AC28*AD28</f>
        <v>-48303.472771645669</v>
      </c>
      <c r="AF28">
        <v>-5.8595385566568021</v>
      </c>
      <c r="AG28" s="5">
        <f t="shared" si="7"/>
        <v>-15203.479139990046</v>
      </c>
      <c r="AK28">
        <v>-10.452251512685796</v>
      </c>
      <c r="AL28" s="5">
        <f t="shared" si="8"/>
        <v>-26779.140769089619</v>
      </c>
      <c r="AO28" t="s">
        <v>8</v>
      </c>
      <c r="AP28" s="19">
        <f t="shared" ref="AP28:AP31" si="14">AQ28/$AQ$34*100</f>
        <v>0.76026968813496554</v>
      </c>
      <c r="AQ28">
        <f>AC28</f>
        <v>2594.6546802252788</v>
      </c>
      <c r="AT28" t="s">
        <v>8</v>
      </c>
      <c r="AU28" s="19">
        <f t="shared" ref="AU28:AU33" si="15">AV28/$AV$34*100</f>
        <v>0.88122117504754516</v>
      </c>
      <c r="AV28">
        <f>AQ28-AT7</f>
        <v>2562.0451953904894</v>
      </c>
      <c r="AX28" t="s">
        <v>8</v>
      </c>
      <c r="AY28" s="1">
        <v>0.01</v>
      </c>
      <c r="AZ28">
        <f t="shared" ref="AZ28:AZ33" si="16">AY28/100*$AZ$34</f>
        <v>20.183066324611353</v>
      </c>
    </row>
    <row r="29" spans="2:53" x14ac:dyDescent="0.2">
      <c r="C29" t="s">
        <v>9</v>
      </c>
      <c r="D29" s="1">
        <v>0</v>
      </c>
      <c r="E29">
        <f t="shared" si="5"/>
        <v>0</v>
      </c>
      <c r="G29">
        <v>10.524393639686577</v>
      </c>
      <c r="H29">
        <f t="shared" si="6"/>
        <v>290733.73614441266</v>
      </c>
      <c r="J29" t="s">
        <v>9</v>
      </c>
      <c r="K29" s="19">
        <f t="shared" si="9"/>
        <v>21.856242028129291</v>
      </c>
      <c r="L29">
        <f t="shared" ref="L29:L33" si="17">E29+AI60</f>
        <v>27624.749329793303</v>
      </c>
      <c r="O29">
        <v>4.0133732821188897</v>
      </c>
      <c r="P29" s="5">
        <f t="shared" si="10"/>
        <v>110868.43088542415</v>
      </c>
      <c r="R29" t="s">
        <v>9</v>
      </c>
      <c r="S29" s="33">
        <f t="shared" si="11"/>
        <v>10.100302556805167</v>
      </c>
      <c r="T29">
        <f t="shared" ref="T29:T32" si="18">L29</f>
        <v>27624.749329793303</v>
      </c>
      <c r="U29">
        <v>19.303673824287412</v>
      </c>
      <c r="V29" s="5">
        <f t="shared" si="12"/>
        <v>533259.15054003219</v>
      </c>
      <c r="W29" s="17" t="s">
        <v>82</v>
      </c>
      <c r="X29" t="s">
        <v>113</v>
      </c>
      <c r="Y29" t="s">
        <v>123</v>
      </c>
      <c r="AA29" t="s">
        <v>9</v>
      </c>
      <c r="AB29" s="34">
        <v>19.0153</v>
      </c>
      <c r="AC29">
        <f t="shared" ref="AC29:AC33" si="19">AB29/100*$AC$34</f>
        <v>73115.200268061264</v>
      </c>
      <c r="AD29">
        <v>-19.303673824287412</v>
      </c>
      <c r="AE29" s="5">
        <f t="shared" si="13"/>
        <v>-1411391.9775721061</v>
      </c>
      <c r="AF29">
        <v>-6.2944433209515953</v>
      </c>
      <c r="AG29" s="5">
        <f t="shared" si="7"/>
        <v>-460219.48398733651</v>
      </c>
      <c r="AH29" s="48">
        <v>0.51900000000000002</v>
      </c>
      <c r="AI29" t="s">
        <v>195</v>
      </c>
      <c r="AK29">
        <v>-12.051072052355872</v>
      </c>
      <c r="AL29" s="5">
        <f t="shared" si="8"/>
        <v>-415704.71621375543</v>
      </c>
      <c r="AO29" t="s">
        <v>9</v>
      </c>
      <c r="AP29" s="19">
        <f t="shared" si="14"/>
        <v>10.304830664761916</v>
      </c>
      <c r="AQ29">
        <f>AC29*(1-AH29)</f>
        <v>35168.411328937465</v>
      </c>
      <c r="AT29" t="s">
        <v>9</v>
      </c>
      <c r="AU29" s="19">
        <f t="shared" si="15"/>
        <v>11.864717616568415</v>
      </c>
      <c r="AV29">
        <f>AQ29-AT8</f>
        <v>34495.247759512735</v>
      </c>
      <c r="AX29" t="s">
        <v>9</v>
      </c>
      <c r="AY29" s="1">
        <v>0</v>
      </c>
      <c r="AZ29">
        <f t="shared" si="16"/>
        <v>0</v>
      </c>
    </row>
    <row r="30" spans="2:53" x14ac:dyDescent="0.2">
      <c r="C30" t="s">
        <v>10</v>
      </c>
      <c r="D30" s="1">
        <v>0.5</v>
      </c>
      <c r="E30">
        <f t="shared" si="5"/>
        <v>275.96714244824659</v>
      </c>
      <c r="G30">
        <v>16.648488170542745</v>
      </c>
      <c r="H30">
        <f t="shared" si="6"/>
        <v>63275.54382601101</v>
      </c>
      <c r="J30" t="s">
        <v>10</v>
      </c>
      <c r="K30" s="19">
        <f t="shared" si="9"/>
        <v>3.0070332474431409</v>
      </c>
      <c r="L30">
        <f t="shared" si="17"/>
        <v>3800.678066250397</v>
      </c>
      <c r="O30">
        <v>6.5807519704037611</v>
      </c>
      <c r="P30" s="5">
        <f t="shared" si="10"/>
        <v>25011.319673347658</v>
      </c>
      <c r="R30" t="s">
        <v>10</v>
      </c>
      <c r="S30" s="33">
        <f>T30/$T$34*100</f>
        <v>1.3896234109440671</v>
      </c>
      <c r="T30">
        <f>L30</f>
        <v>3800.678066250397</v>
      </c>
      <c r="U30">
        <v>32.04493929151495</v>
      </c>
      <c r="V30" s="5">
        <f t="shared" si="12"/>
        <v>121792.49789958641</v>
      </c>
      <c r="W30" s="17" t="s">
        <v>83</v>
      </c>
      <c r="X30" s="5">
        <f>Z109*AI135</f>
        <v>730269.61213210365</v>
      </c>
      <c r="Y30" s="6">
        <v>0.05</v>
      </c>
      <c r="Z30" t="s">
        <v>270</v>
      </c>
      <c r="AA30" t="s">
        <v>10</v>
      </c>
      <c r="AB30" s="34">
        <v>3.5893000000000002</v>
      </c>
      <c r="AC30">
        <f t="shared" si="19"/>
        <v>13801.117432917299</v>
      </c>
      <c r="AD30">
        <v>-32.04493929151495</v>
      </c>
      <c r="AE30" s="5">
        <f t="shared" si="13"/>
        <v>-442255.97029290348</v>
      </c>
      <c r="AF30">
        <v>-10.280324859683002</v>
      </c>
      <c r="AG30" s="5">
        <f t="shared" si="7"/>
        <v>-141879.97063702418</v>
      </c>
      <c r="AK30">
        <v>-19.14310284268517</v>
      </c>
      <c r="AL30" s="5">
        <f t="shared" si="8"/>
        <v>-84255.20890059309</v>
      </c>
      <c r="AO30" t="s">
        <v>10</v>
      </c>
      <c r="AP30" s="19">
        <f t="shared" si="14"/>
        <v>15.162851896612775</v>
      </c>
      <c r="AQ30">
        <f>AC30+(AC29*AH29)</f>
        <v>51747.9063720411</v>
      </c>
      <c r="AS30" t="s">
        <v>191</v>
      </c>
      <c r="AT30" t="s">
        <v>10</v>
      </c>
      <c r="AU30" s="20">
        <v>1.5</v>
      </c>
      <c r="AV30">
        <f>SUM(AQ27:AQ29,AQ31:AQ32)/(1-(AU30/100))*(AU30/100)</f>
        <v>4401.3350183085968</v>
      </c>
      <c r="AX30" t="s">
        <v>10</v>
      </c>
      <c r="AY30" s="1">
        <v>0</v>
      </c>
      <c r="AZ30">
        <f t="shared" si="16"/>
        <v>0</v>
      </c>
    </row>
    <row r="31" spans="2:53" x14ac:dyDescent="0.2">
      <c r="B31">
        <v>74</v>
      </c>
      <c r="C31" t="s">
        <v>11</v>
      </c>
      <c r="D31" s="1">
        <v>95</v>
      </c>
      <c r="E31">
        <f>($A$34)*($D$34*D31/100*1000)/($E$24*$B$34)</f>
        <v>52433.757065166858</v>
      </c>
      <c r="G31">
        <v>14.130909209883855</v>
      </c>
      <c r="H31">
        <f t="shared" si="6"/>
        <v>776930.81414293766</v>
      </c>
      <c r="J31" t="s">
        <v>11</v>
      </c>
      <c r="K31" s="19">
        <f t="shared" si="9"/>
        <v>43.500012904603146</v>
      </c>
      <c r="L31">
        <f>E31+AI62</f>
        <v>54980.950100472932</v>
      </c>
      <c r="O31">
        <v>7.3660902678144407</v>
      </c>
      <c r="P31" s="5">
        <f t="shared" si="10"/>
        <v>404994.64145028504</v>
      </c>
      <c r="R31" t="s">
        <v>11</v>
      </c>
      <c r="S31" s="33">
        <f t="shared" si="11"/>
        <v>20.102417011851998</v>
      </c>
      <c r="T31">
        <f>L31</f>
        <v>54980.950100472932</v>
      </c>
      <c r="U31">
        <v>42.380994362607822</v>
      </c>
      <c r="V31" s="5">
        <f t="shared" si="12"/>
        <v>2330147.3362589651</v>
      </c>
      <c r="W31" s="1"/>
      <c r="Y31" t="s">
        <v>224</v>
      </c>
      <c r="Z31" s="47">
        <v>0.94799999999999995</v>
      </c>
      <c r="AA31" t="s">
        <v>11</v>
      </c>
      <c r="AB31" s="34">
        <v>0.87060000000000004</v>
      </c>
      <c r="AC31">
        <f t="shared" si="19"/>
        <v>3347.5198052817541</v>
      </c>
      <c r="AD31">
        <v>-42.380994362607822</v>
      </c>
      <c r="AE31" s="5">
        <f t="shared" si="13"/>
        <v>-141871.21799636405</v>
      </c>
      <c r="AF31">
        <v>-11.183193806483354</v>
      </c>
      <c r="AG31" s="5">
        <f t="shared" si="7"/>
        <v>-37435.962753507272</v>
      </c>
      <c r="AK31">
        <v>-16.844384915198077</v>
      </c>
      <c r="AL31" s="5">
        <f t="shared" si="8"/>
        <v>-53576.944033268737</v>
      </c>
      <c r="AO31" t="s">
        <v>11</v>
      </c>
      <c r="AP31" s="19">
        <f t="shared" si="14"/>
        <v>0.98086957689730436</v>
      </c>
      <c r="AQ31">
        <f>AC31</f>
        <v>3347.5198052817541</v>
      </c>
      <c r="AS31" s="19"/>
      <c r="AT31" t="s">
        <v>11</v>
      </c>
      <c r="AU31" s="19">
        <f t="shared" si="15"/>
        <v>1.0940090611501854</v>
      </c>
      <c r="AV31">
        <f>AQ31-AT10</f>
        <v>3180.7005303546707</v>
      </c>
      <c r="AX31" t="s">
        <v>11</v>
      </c>
      <c r="AY31" s="1">
        <v>0</v>
      </c>
      <c r="AZ31">
        <f t="shared" si="16"/>
        <v>0</v>
      </c>
    </row>
    <row r="32" spans="2:53" x14ac:dyDescent="0.2">
      <c r="C32" t="s">
        <v>12</v>
      </c>
      <c r="D32" s="1">
        <v>3.5</v>
      </c>
      <c r="E32">
        <f t="shared" si="5"/>
        <v>1931.7699971377263</v>
      </c>
      <c r="G32">
        <v>14.130909209883855</v>
      </c>
      <c r="H32">
        <f t="shared" si="6"/>
        <v>27297.666443930804</v>
      </c>
      <c r="J32" t="s">
        <v>12</v>
      </c>
      <c r="K32" s="19">
        <f t="shared" si="9"/>
        <v>1.5283842794759825</v>
      </c>
      <c r="L32">
        <f t="shared" si="17"/>
        <v>1931.7699971377263</v>
      </c>
      <c r="O32">
        <v>7.3660902678144407</v>
      </c>
      <c r="P32" s="5">
        <f t="shared" si="10"/>
        <v>14229.592175572136</v>
      </c>
      <c r="R32" t="s">
        <v>12</v>
      </c>
      <c r="S32" s="33">
        <f t="shared" si="11"/>
        <v>0.70630365576590282</v>
      </c>
      <c r="T32">
        <f t="shared" si="18"/>
        <v>1931.7699971377263</v>
      </c>
      <c r="U32">
        <v>42.380994362607822</v>
      </c>
      <c r="V32" s="5">
        <f t="shared" si="12"/>
        <v>81870.333358548902</v>
      </c>
      <c r="W32" s="1"/>
      <c r="Y32" s="38">
        <v>0</v>
      </c>
      <c r="AA32" t="s">
        <v>12</v>
      </c>
      <c r="AB32" s="34">
        <v>0</v>
      </c>
      <c r="AC32">
        <f t="shared" si="19"/>
        <v>0</v>
      </c>
      <c r="AD32">
        <v>-42.380994362607822</v>
      </c>
      <c r="AE32" s="5">
        <f t="shared" si="13"/>
        <v>0</v>
      </c>
      <c r="AF32">
        <v>-11.183193806483354</v>
      </c>
      <c r="AG32" s="5">
        <f t="shared" si="7"/>
        <v>0</v>
      </c>
      <c r="AK32">
        <v>-16.844384915198077</v>
      </c>
      <c r="AL32" s="5">
        <f t="shared" si="8"/>
        <v>0</v>
      </c>
      <c r="AO32" t="s">
        <v>12</v>
      </c>
      <c r="AP32" s="19">
        <f>AQ32/$AQ$34*100</f>
        <v>0</v>
      </c>
      <c r="AQ32">
        <f>AC32</f>
        <v>0</v>
      </c>
      <c r="AT32" t="s">
        <v>12</v>
      </c>
      <c r="AU32" s="19">
        <f t="shared" si="15"/>
        <v>0</v>
      </c>
      <c r="AV32">
        <f>AQ32-AT11</f>
        <v>0</v>
      </c>
      <c r="AX32" t="s">
        <v>12</v>
      </c>
      <c r="AY32" s="1">
        <v>0</v>
      </c>
      <c r="AZ32">
        <f t="shared" si="16"/>
        <v>0</v>
      </c>
    </row>
    <row r="33" spans="1:52" x14ac:dyDescent="0.2">
      <c r="A33" t="s">
        <v>197</v>
      </c>
      <c r="B33" t="s">
        <v>108</v>
      </c>
      <c r="C33" t="s">
        <v>13</v>
      </c>
      <c r="D33" s="1">
        <v>0</v>
      </c>
      <c r="E33">
        <f t="shared" si="5"/>
        <v>0</v>
      </c>
      <c r="G33">
        <v>12.671218017974889</v>
      </c>
      <c r="H33">
        <f t="shared" si="6"/>
        <v>0</v>
      </c>
      <c r="J33" t="s">
        <v>13</v>
      </c>
      <c r="K33" s="19">
        <f t="shared" si="9"/>
        <v>0</v>
      </c>
      <c r="L33">
        <f t="shared" si="17"/>
        <v>0</v>
      </c>
      <c r="O33">
        <v>4.8794395387115959</v>
      </c>
      <c r="P33" s="5">
        <f>T33*O33</f>
        <v>717820.32900909532</v>
      </c>
      <c r="R33" t="s">
        <v>13</v>
      </c>
      <c r="S33" s="33">
        <f>T33/$T$34*100</f>
        <v>53.78756080845951</v>
      </c>
      <c r="T33">
        <f>(T31+2*T32)*M21</f>
        <v>147111.22523687096</v>
      </c>
      <c r="U33">
        <v>24.432107791175742</v>
      </c>
      <c r="V33" s="5">
        <f t="shared" si="12"/>
        <v>3594237.3122791643</v>
      </c>
      <c r="W33" s="1"/>
      <c r="Z33" t="s">
        <v>271</v>
      </c>
      <c r="AA33" t="s">
        <v>13</v>
      </c>
      <c r="AB33" s="34">
        <v>21.227499999999999</v>
      </c>
      <c r="AC33">
        <f t="shared" si="19"/>
        <v>81621.268856671755</v>
      </c>
      <c r="AD33">
        <v>-24.432107791175742</v>
      </c>
      <c r="AE33" s="5">
        <f t="shared" si="13"/>
        <v>-1994179.6387587399</v>
      </c>
      <c r="AF33">
        <v>-7.633496193591319</v>
      </c>
      <c r="AG33" s="5">
        <f t="shared" si="7"/>
        <v>-623055.64513349754</v>
      </c>
      <c r="AK33">
        <v>-14.521697404151334</v>
      </c>
      <c r="AL33" s="5">
        <f t="shared" si="8"/>
        <v>0</v>
      </c>
      <c r="AO33" t="s">
        <v>13</v>
      </c>
      <c r="AP33" s="1">
        <v>0.15</v>
      </c>
      <c r="AQ33">
        <f>SUM(AQ27:AQ32)/(1-(AP33/100))*(AP33/100)</f>
        <v>511.92124072254222</v>
      </c>
      <c r="AT33" t="s">
        <v>13</v>
      </c>
      <c r="AU33" s="19">
        <f t="shared" si="15"/>
        <v>0</v>
      </c>
      <c r="AV33">
        <f>AQ33-AT12</f>
        <v>0</v>
      </c>
      <c r="AX33" t="s">
        <v>13</v>
      </c>
      <c r="AY33" s="1">
        <v>0</v>
      </c>
      <c r="AZ33">
        <f t="shared" si="16"/>
        <v>0</v>
      </c>
    </row>
    <row r="34" spans="1:52" x14ac:dyDescent="0.2">
      <c r="A34">
        <v>1</v>
      </c>
      <c r="B34">
        <v>298</v>
      </c>
      <c r="C34" t="s">
        <v>14</v>
      </c>
      <c r="D34" s="45">
        <v>1367.4569300995747</v>
      </c>
      <c r="E34">
        <f>($A$34)*($D$34*1000)/($E$24*$B$34)</f>
        <v>55193.428489649319</v>
      </c>
      <c r="J34" t="s">
        <v>14</v>
      </c>
      <c r="K34" s="9">
        <f>L34*$E$24*$B$34/$A$34/1000</f>
        <v>3131.4763699280256</v>
      </c>
      <c r="L34">
        <f>E34+AI65</f>
        <v>126392.95124129693</v>
      </c>
      <c r="R34" t="s">
        <v>14</v>
      </c>
      <c r="S34" s="9">
        <f>T34*$E$24*$B$34/$A$34/1000</f>
        <v>6776.2628952536743</v>
      </c>
      <c r="T34">
        <f>SUM(T27:T33)</f>
        <v>273504.17647816788</v>
      </c>
      <c r="U34" s="51" cm="1">
        <f t="array" ref="U34">SUMPRODUCT(S27:S33/100,_xlfn.ANCHORARRAY(U27))</f>
        <v>26.852631932035891</v>
      </c>
      <c r="Z34" s="13">
        <v>1.4058550000000001</v>
      </c>
      <c r="AA34" t="s">
        <v>14</v>
      </c>
      <c r="AB34" s="9">
        <f>AC34*$E$24*$B$34/$A$34/1000</f>
        <v>9526.4430726068549</v>
      </c>
      <c r="AC34">
        <f>T34*Z34</f>
        <v>384507.2140227147</v>
      </c>
      <c r="AD34" s="51" cm="1">
        <f t="array" ref="AD34">SUMPRODUCT(AB27:AB33/100,_xlfn.ANCHORARRAY(AD27))</f>
        <v>-20.275681604988144</v>
      </c>
      <c r="AF34" t="s">
        <v>116</v>
      </c>
      <c r="AK34" t="s">
        <v>116</v>
      </c>
      <c r="AL34" s="23">
        <f>SUM(AL27:AL33)</f>
        <v>-3759263.2123872447</v>
      </c>
      <c r="AO34" t="s">
        <v>14</v>
      </c>
      <c r="AP34" s="9">
        <f>AQ34*$E$24*$B$34/$A$34/1000</f>
        <v>8455.4782147962014</v>
      </c>
      <c r="AQ34">
        <f>SUM(AQ27:AQ33)</f>
        <v>341280.82714836148</v>
      </c>
      <c r="AT34" t="s">
        <v>14</v>
      </c>
      <c r="AU34" s="9">
        <f>AV34*$E$24*$B$34/$A$34/1000</f>
        <v>7203.2443370321062</v>
      </c>
      <c r="AV34">
        <f>SUM(AV27:AV33)</f>
        <v>290738.04260913929</v>
      </c>
      <c r="AX34" t="s">
        <v>14</v>
      </c>
      <c r="AY34" s="1">
        <v>5000.5</v>
      </c>
      <c r="AZ34">
        <f>($A$34)*($AY$34*1000)/($E$24*$B$34)</f>
        <v>201830.66324611352</v>
      </c>
    </row>
    <row r="35" spans="1:52" x14ac:dyDescent="0.2">
      <c r="C35" t="s">
        <v>15</v>
      </c>
      <c r="D35" s="1">
        <v>20</v>
      </c>
      <c r="J35" t="s">
        <v>15</v>
      </c>
      <c r="K35" s="1">
        <v>390</v>
      </c>
      <c r="R35" t="s">
        <v>15</v>
      </c>
      <c r="S35" s="1">
        <v>520</v>
      </c>
      <c r="X35" s="5">
        <f>T31*X36</f>
        <v>15394666.02813242</v>
      </c>
      <c r="AA35" t="s">
        <v>15</v>
      </c>
      <c r="AB35" s="1">
        <v>1100</v>
      </c>
      <c r="AF35" cm="1">
        <f t="array" ref="AF35">SUMPRODUCT(AB27:AB33/100,_xlfn.ANCHORARRAY(AF27))</f>
        <v>-6.7129393994614572</v>
      </c>
      <c r="AL35" s="5"/>
      <c r="AO35" t="s">
        <v>15</v>
      </c>
      <c r="AP35" s="1">
        <v>20</v>
      </c>
      <c r="AT35" t="s">
        <v>15</v>
      </c>
      <c r="AU35" s="1">
        <v>20</v>
      </c>
      <c r="AX35" t="s">
        <v>15</v>
      </c>
      <c r="AY35" s="1">
        <v>20</v>
      </c>
    </row>
    <row r="36" spans="1:52" x14ac:dyDescent="0.2">
      <c r="C36" t="s">
        <v>16</v>
      </c>
      <c r="D36" s="20">
        <v>5.4</v>
      </c>
      <c r="J36" t="s">
        <v>16</v>
      </c>
      <c r="K36" s="20">
        <v>5.3</v>
      </c>
      <c r="R36" t="s">
        <v>16</v>
      </c>
      <c r="S36" s="20">
        <v>5.3</v>
      </c>
      <c r="U36">
        <f>U34*T34</f>
        <v>7344306.98284283</v>
      </c>
      <c r="X36">
        <v>280</v>
      </c>
      <c r="AA36" t="s">
        <v>16</v>
      </c>
      <c r="AB36" s="20">
        <v>5.0999999999999996</v>
      </c>
      <c r="AF36">
        <f>AF35*AC34</f>
        <v>-2581173.6263902406</v>
      </c>
      <c r="AO36" t="s">
        <v>16</v>
      </c>
      <c r="AP36" s="20">
        <v>5</v>
      </c>
      <c r="AT36" t="s">
        <v>16</v>
      </c>
      <c r="AU36" s="20">
        <v>5</v>
      </c>
      <c r="AX36" t="s">
        <v>16</v>
      </c>
      <c r="AY36" s="1">
        <v>4.9000000000000004</v>
      </c>
    </row>
    <row r="37" spans="1:52" x14ac:dyDescent="0.2">
      <c r="H37" s="23">
        <f>SUM(H27:H33)</f>
        <v>1586380.159913861</v>
      </c>
      <c r="J37" t="s">
        <v>116</v>
      </c>
      <c r="P37" s="23">
        <f>SUM(P27:P33)</f>
        <v>1421407.4372108569</v>
      </c>
      <c r="R37" t="s">
        <v>116</v>
      </c>
      <c r="V37" s="23">
        <f>SUM(V27:V33)</f>
        <v>7344306.9828428291</v>
      </c>
      <c r="X37" s="23">
        <f>SUM(X27:X28,X30)</f>
        <v>12082828.819743082</v>
      </c>
      <c r="Y37" s="23">
        <f>SUM(P37,V37,X37)/(1-(Y32))*Y32</f>
        <v>0</v>
      </c>
      <c r="AE37" s="23">
        <f>SUM(AE27:AE33)</f>
        <v>-7796145.846345596</v>
      </c>
      <c r="AG37" s="23">
        <f>SUM(AG27:AG33)</f>
        <v>-2581173.6263902406</v>
      </c>
    </row>
    <row r="38" spans="1:52" x14ac:dyDescent="0.2">
      <c r="E38">
        <f>E30+E31+2*E32</f>
        <v>56573.264201890554</v>
      </c>
      <c r="H38">
        <v>1311383.5597655312</v>
      </c>
    </row>
    <row r="39" spans="1:52" x14ac:dyDescent="0.2">
      <c r="D39">
        <f>AV23-BA27</f>
        <v>-3.8743043635491858E-5</v>
      </c>
      <c r="E39">
        <f>SUM(AY61:AY63)/E38</f>
        <v>0.14813779102974073</v>
      </c>
      <c r="K39" t="s">
        <v>314</v>
      </c>
      <c r="S39" s="24"/>
      <c r="T39" s="24"/>
      <c r="U39" s="27" t="s">
        <v>185</v>
      </c>
      <c r="V39" s="26"/>
      <c r="W39" s="24"/>
      <c r="X39" s="24"/>
    </row>
    <row r="40" spans="1:52" x14ac:dyDescent="0.2">
      <c r="D40">
        <f>(E31-AY63)*4+E32*7-AY61-(AZ27+AT6+AY59)</f>
        <v>1409.6936573568382</v>
      </c>
      <c r="S40" s="24"/>
      <c r="T40" s="24"/>
      <c r="U40" s="29" t="s">
        <v>166</v>
      </c>
      <c r="V40" s="24" t="s">
        <v>167</v>
      </c>
      <c r="W40" s="24"/>
      <c r="X40" s="24"/>
    </row>
    <row r="41" spans="1:52" x14ac:dyDescent="0.2">
      <c r="S41" s="24"/>
      <c r="T41" s="24"/>
      <c r="U41" s="29"/>
      <c r="V41" s="24"/>
      <c r="W41" s="24"/>
      <c r="X41" s="24"/>
      <c r="AG41" s="37" t="s">
        <v>212</v>
      </c>
      <c r="AT41" t="s">
        <v>198</v>
      </c>
      <c r="AU41" t="s">
        <v>132</v>
      </c>
      <c r="AW41" t="s">
        <v>0</v>
      </c>
      <c r="AX41" t="s">
        <v>198</v>
      </c>
      <c r="AY41" t="s">
        <v>132</v>
      </c>
    </row>
    <row r="42" spans="1:52" x14ac:dyDescent="0.2">
      <c r="E42">
        <f>E30+E31+E32*2</f>
        <v>56573.264201890554</v>
      </c>
      <c r="S42" s="24" t="s">
        <v>217</v>
      </c>
      <c r="T42" s="24"/>
      <c r="U42" s="29">
        <f>-AA45</f>
        <v>-12082828.819743082</v>
      </c>
      <c r="V42" s="24"/>
      <c r="W42" s="24"/>
      <c r="X42" s="24"/>
      <c r="Y42" s="5">
        <f>SUM(U42:U43,V47,V55)</f>
        <v>-12082828.819743082</v>
      </c>
      <c r="AG42" s="21"/>
      <c r="AH42" s="21" t="s">
        <v>208</v>
      </c>
      <c r="AI42" s="21" t="s">
        <v>149</v>
      </c>
      <c r="AJ42" s="21" t="s">
        <v>139</v>
      </c>
      <c r="AL42" s="1"/>
      <c r="AM42" s="1"/>
      <c r="AN42" s="5"/>
      <c r="AT42" s="13">
        <v>49.813923647362749</v>
      </c>
      <c r="AU42">
        <f t="shared" ref="AU42:AU48" si="20">AT42/100*$AU$49</f>
        <v>44288.282885134373</v>
      </c>
      <c r="AW42" t="s">
        <v>7</v>
      </c>
      <c r="AX42">
        <f t="shared" ref="AX42:AX48" si="21">AY42/$AY$49*100</f>
        <v>49.813900986718537</v>
      </c>
      <c r="AY42">
        <f t="shared" ref="AY42:AY48" si="22">AV27-AZ27</f>
        <v>44288.23392578389</v>
      </c>
    </row>
    <row r="43" spans="1:52" x14ac:dyDescent="0.2">
      <c r="E43">
        <f>SUM(AT9,AT8,AY61,AY62,AY63)</f>
        <v>56400.373313367214</v>
      </c>
      <c r="S43" s="24" t="s">
        <v>227</v>
      </c>
      <c r="T43" s="24"/>
      <c r="U43" s="31">
        <v>0</v>
      </c>
      <c r="V43" s="24"/>
      <c r="W43" s="24"/>
      <c r="X43" s="24"/>
      <c r="Y43" s="5"/>
      <c r="AG43" s="21" t="s">
        <v>209</v>
      </c>
      <c r="AH43" s="21">
        <f>AQ29-AC29</f>
        <v>-37946.788939123799</v>
      </c>
      <c r="AI43" s="21" cm="1">
        <f t="array" ref="AI43:AI49">N139:N145</f>
        <v>3.8003365836004184</v>
      </c>
      <c r="AJ43" s="21">
        <f t="shared" ref="AJ43:AJ49" si="23">AI43*AQ27</f>
        <v>942143.01472001418</v>
      </c>
      <c r="AL43" s="1"/>
      <c r="AM43" s="1"/>
      <c r="AN43" s="5"/>
      <c r="AT43" s="13">
        <v>2.8589988855038224</v>
      </c>
      <c r="AU43">
        <f t="shared" si="20"/>
        <v>2541.8626387640661</v>
      </c>
      <c r="AW43" t="s">
        <v>8</v>
      </c>
      <c r="AX43">
        <f t="shared" si="21"/>
        <v>2.8590001721757767</v>
      </c>
      <c r="AY43">
        <f t="shared" si="22"/>
        <v>2541.862129065878</v>
      </c>
    </row>
    <row r="44" spans="1:52" x14ac:dyDescent="0.2">
      <c r="Q44" s="5"/>
      <c r="S44" s="24" t="s">
        <v>223</v>
      </c>
      <c r="T44" s="24"/>
      <c r="U44" s="41"/>
      <c r="V44" s="42">
        <f>P37</f>
        <v>1421407.4372108569</v>
      </c>
      <c r="W44" s="24"/>
      <c r="X44" s="24"/>
      <c r="Z44" t="s">
        <v>193</v>
      </c>
      <c r="AG44" s="21" t="s">
        <v>210</v>
      </c>
      <c r="AH44" s="21">
        <f>AI141</f>
        <v>-37.773931800639012</v>
      </c>
      <c r="AI44" s="21">
        <v>3.5192101815561934</v>
      </c>
      <c r="AJ44" s="21">
        <f t="shared" si="23"/>
        <v>9131.1351682712302</v>
      </c>
      <c r="AL44" s="1"/>
      <c r="AM44" s="1"/>
      <c r="AN44" s="5"/>
      <c r="AT44" s="13">
        <v>38.799065305748897</v>
      </c>
      <c r="AU44">
        <f t="shared" si="20"/>
        <v>34495.254622063534</v>
      </c>
      <c r="AW44" t="s">
        <v>9</v>
      </c>
      <c r="AX44">
        <f t="shared" si="21"/>
        <v>38.799082828279154</v>
      </c>
      <c r="AY44">
        <f t="shared" si="22"/>
        <v>34495.247759512735</v>
      </c>
    </row>
    <row r="45" spans="1:52" x14ac:dyDescent="0.2">
      <c r="M45" s="3"/>
      <c r="P45" t="s">
        <v>228</v>
      </c>
      <c r="Q45" s="5">
        <f>U52+V53+V54</f>
        <v>0</v>
      </c>
      <c r="S45" s="24" t="s">
        <v>281</v>
      </c>
      <c r="T45" s="24"/>
      <c r="U45" s="41"/>
      <c r="V45" s="42">
        <f>V37</f>
        <v>7344306.9828428291</v>
      </c>
      <c r="W45" s="24"/>
      <c r="X45" s="24"/>
      <c r="Z45" t="s">
        <v>207</v>
      </c>
      <c r="AA45" s="23">
        <f>X37+Y37</f>
        <v>12082828.819743082</v>
      </c>
      <c r="AG45" s="21" t="s">
        <v>211</v>
      </c>
      <c r="AH45" s="21">
        <f>-AH43*AH44</f>
        <v>-1433399.4174397052</v>
      </c>
      <c r="AI45" s="21">
        <v>3.8077484515020008</v>
      </c>
      <c r="AJ45" s="21">
        <f t="shared" si="23"/>
        <v>133912.46377954705</v>
      </c>
      <c r="AK45" s="17"/>
      <c r="AL45" s="1"/>
      <c r="AM45" s="1"/>
      <c r="AN45" s="9"/>
      <c r="AT45" s="13">
        <v>4.950469873368057</v>
      </c>
      <c r="AU45">
        <f t="shared" si="20"/>
        <v>4401.3358939186328</v>
      </c>
      <c r="AW45" t="s">
        <v>10</v>
      </c>
      <c r="AX45">
        <f t="shared" si="21"/>
        <v>4.9504721091115584</v>
      </c>
      <c r="AY45">
        <f t="shared" si="22"/>
        <v>4401.3350183085968</v>
      </c>
    </row>
    <row r="46" spans="1:52" x14ac:dyDescent="0.2">
      <c r="Q46" s="5"/>
      <c r="S46" s="24" t="s">
        <v>172</v>
      </c>
      <c r="T46" s="24"/>
      <c r="U46" s="41"/>
      <c r="V46" s="42">
        <f>X37</f>
        <v>12082828.819743082</v>
      </c>
      <c r="W46" s="24"/>
      <c r="X46" s="24"/>
      <c r="AA46" s="5"/>
      <c r="AG46" s="21"/>
      <c r="AH46" s="21"/>
      <c r="AI46" s="21">
        <v>6.1941875614216677</v>
      </c>
      <c r="AJ46" s="21">
        <f t="shared" si="23"/>
        <v>320536.23797931004</v>
      </c>
      <c r="AL46" s="1"/>
      <c r="AM46" s="1"/>
      <c r="AT46" s="13">
        <v>3.5775422880164354</v>
      </c>
      <c r="AU46">
        <f t="shared" si="20"/>
        <v>3180.7011631293385</v>
      </c>
      <c r="AW46" t="s">
        <v>11</v>
      </c>
      <c r="AX46">
        <f t="shared" si="21"/>
        <v>3.5775439037149712</v>
      </c>
      <c r="AY46">
        <f t="shared" si="22"/>
        <v>3180.7005303546707</v>
      </c>
    </row>
    <row r="47" spans="1:52" x14ac:dyDescent="0.2">
      <c r="E47" s="36"/>
      <c r="P47" t="s">
        <v>219</v>
      </c>
      <c r="Q47" s="5">
        <f>V44+U50+V51</f>
        <v>0</v>
      </c>
      <c r="S47" s="24" t="s">
        <v>119</v>
      </c>
      <c r="T47" s="24"/>
      <c r="U47" s="41"/>
      <c r="V47" s="42">
        <f>Y37</f>
        <v>0</v>
      </c>
      <c r="W47" s="24"/>
      <c r="X47" s="24"/>
      <c r="AG47" s="21"/>
      <c r="AH47" s="21"/>
      <c r="AI47" s="21">
        <v>6.5305792439831336</v>
      </c>
      <c r="AJ47" s="21">
        <f t="shared" si="23"/>
        <v>21861.243359195483</v>
      </c>
      <c r="AL47" s="1"/>
      <c r="AM47" s="1"/>
      <c r="AT47" s="13">
        <v>0</v>
      </c>
      <c r="AU47">
        <f t="shared" si="20"/>
        <v>0</v>
      </c>
      <c r="AW47" t="s">
        <v>12</v>
      </c>
      <c r="AX47">
        <f t="shared" si="21"/>
        <v>0</v>
      </c>
      <c r="AY47">
        <f t="shared" si="22"/>
        <v>0</v>
      </c>
    </row>
    <row r="48" spans="1:52" x14ac:dyDescent="0.2">
      <c r="P48" t="s">
        <v>283</v>
      </c>
      <c r="Q48" s="5">
        <f>V45+U48+V49</f>
        <v>0</v>
      </c>
      <c r="S48" s="24" t="s">
        <v>282</v>
      </c>
      <c r="T48" s="24"/>
      <c r="U48" s="31">
        <f>AE37</f>
        <v>-7796145.846345596</v>
      </c>
      <c r="V48" s="24"/>
      <c r="W48" s="24"/>
      <c r="X48" s="24"/>
      <c r="AG48" s="21"/>
      <c r="AH48" s="21"/>
      <c r="AI48" s="21">
        <v>6.5305792439831336</v>
      </c>
      <c r="AJ48" s="21">
        <f t="shared" si="23"/>
        <v>0</v>
      </c>
      <c r="AL48" s="1"/>
      <c r="AM48" s="1"/>
      <c r="AN48" s="22"/>
      <c r="AT48" s="13">
        <v>0</v>
      </c>
      <c r="AU48">
        <f t="shared" si="20"/>
        <v>0</v>
      </c>
      <c r="AW48" t="s">
        <v>13</v>
      </c>
      <c r="AX48">
        <f t="shared" si="21"/>
        <v>0</v>
      </c>
      <c r="AY48">
        <f t="shared" si="22"/>
        <v>0</v>
      </c>
    </row>
    <row r="49" spans="19:61" x14ac:dyDescent="0.2">
      <c r="S49" s="24" t="s">
        <v>319</v>
      </c>
      <c r="T49" s="24"/>
      <c r="U49" s="29"/>
      <c r="V49" s="23">
        <f>-U48-V45</f>
        <v>451838.86350276694</v>
      </c>
      <c r="W49" s="24"/>
      <c r="X49" s="24"/>
      <c r="AG49" s="21"/>
      <c r="AH49" s="21"/>
      <c r="AI49" s="21">
        <v>4.6045360410561669</v>
      </c>
      <c r="AJ49" s="21">
        <f t="shared" si="23"/>
        <v>2357.1598030891355</v>
      </c>
      <c r="AT49" s="13">
        <v>2202.7457700593586</v>
      </c>
      <c r="AU49">
        <f>$A$34*AT49*1000/(E24*B34)</f>
        <v>88907.437203009977</v>
      </c>
      <c r="AV49" s="19"/>
      <c r="AW49" t="s">
        <v>14</v>
      </c>
      <c r="AX49" s="5">
        <f>AU34-AY34-AK68</f>
        <v>2202.7443370321062</v>
      </c>
      <c r="AY49">
        <f>AV34-AZ34</f>
        <v>88907.379363025771</v>
      </c>
      <c r="BI49" s="17"/>
    </row>
    <row r="50" spans="19:61" x14ac:dyDescent="0.2">
      <c r="S50" s="24" t="s">
        <v>220</v>
      </c>
      <c r="T50" s="24"/>
      <c r="U50" s="43">
        <f>AG37</f>
        <v>-2581173.6263902406</v>
      </c>
      <c r="V50" s="44"/>
      <c r="W50" s="24"/>
      <c r="X50" s="24"/>
      <c r="AG50" s="21"/>
      <c r="AH50" s="21">
        <f>AH45+AJ50</f>
        <v>-3458.1626302779187</v>
      </c>
      <c r="AI50" s="21" t="s">
        <v>116</v>
      </c>
      <c r="AJ50" s="21">
        <f>SUM(AJ43:AJ49)</f>
        <v>1429941.2548094273</v>
      </c>
      <c r="AW50" t="s">
        <v>15</v>
      </c>
      <c r="AX50" s="1">
        <f>AU35</f>
        <v>20</v>
      </c>
      <c r="BH50" s="5"/>
    </row>
    <row r="51" spans="19:61" x14ac:dyDescent="0.2">
      <c r="S51" s="24" t="s">
        <v>285</v>
      </c>
      <c r="T51" s="24"/>
      <c r="U51" s="29"/>
      <c r="V51" s="23">
        <f>-U50-V44</f>
        <v>1159766.1891793837</v>
      </c>
      <c r="W51" s="24"/>
      <c r="X51" s="24"/>
      <c r="AW51" t="s">
        <v>16</v>
      </c>
      <c r="AX51" s="1">
        <v>0.1</v>
      </c>
      <c r="BH51" s="5"/>
    </row>
    <row r="52" spans="19:61" x14ac:dyDescent="0.2">
      <c r="S52" s="24" t="s">
        <v>221</v>
      </c>
      <c r="T52" s="24"/>
      <c r="U52" s="43">
        <f>AL34</f>
        <v>-3759263.2123872447</v>
      </c>
      <c r="V52" s="44"/>
      <c r="W52" s="24"/>
      <c r="X52" s="24"/>
      <c r="BH52" s="5"/>
    </row>
    <row r="53" spans="19:61" x14ac:dyDescent="0.2">
      <c r="S53" s="24" t="s">
        <v>222</v>
      </c>
      <c r="T53" s="24"/>
      <c r="U53" s="41"/>
      <c r="V53" s="42">
        <f>H37</f>
        <v>1586380.159913861</v>
      </c>
      <c r="W53" s="24"/>
      <c r="X53" s="24"/>
      <c r="Z53" s="5"/>
      <c r="AK53" s="4"/>
      <c r="AL53" s="4"/>
      <c r="AM53" s="4"/>
      <c r="BH53" s="5"/>
    </row>
    <row r="54" spans="19:61" x14ac:dyDescent="0.2">
      <c r="S54" s="24" t="s">
        <v>284</v>
      </c>
      <c r="T54" s="24"/>
      <c r="U54" s="29"/>
      <c r="V54" s="23">
        <f>-U52-V53</f>
        <v>2172883.052473384</v>
      </c>
      <c r="W54" s="24"/>
      <c r="X54" s="24"/>
      <c r="AH54" t="s">
        <v>203</v>
      </c>
      <c r="BH54" s="5"/>
    </row>
    <row r="55" spans="19:61" x14ac:dyDescent="0.2">
      <c r="S55" s="24" t="s">
        <v>318</v>
      </c>
      <c r="T55" s="24"/>
      <c r="U55" s="29"/>
      <c r="V55" s="50">
        <v>0</v>
      </c>
      <c r="W55" s="24"/>
      <c r="X55" s="32">
        <f>X56/U56</f>
        <v>0</v>
      </c>
      <c r="AH55" s="13">
        <v>1.29</v>
      </c>
      <c r="BH55" s="5"/>
    </row>
    <row r="56" spans="19:61" x14ac:dyDescent="0.2">
      <c r="S56" s="24" t="s">
        <v>116</v>
      </c>
      <c r="T56" s="24"/>
      <c r="U56" s="29">
        <f>SUM(U42:U54)</f>
        <v>-26219411.504866164</v>
      </c>
      <c r="V56" s="23">
        <f>SUM(V42:V54)</f>
        <v>26219411.504866164</v>
      </c>
      <c r="W56" s="24" t="s">
        <v>183</v>
      </c>
      <c r="X56" s="23">
        <f>SUM(U56:V56)</f>
        <v>0</v>
      </c>
      <c r="BH56" s="5"/>
    </row>
    <row r="57" spans="19:61" x14ac:dyDescent="0.2">
      <c r="AG57" t="s">
        <v>0</v>
      </c>
      <c r="AH57" t="s">
        <v>202</v>
      </c>
      <c r="AI57" t="s">
        <v>132</v>
      </c>
      <c r="AW57" s="6"/>
    </row>
    <row r="58" spans="19:61" x14ac:dyDescent="0.2">
      <c r="AG58" t="s">
        <v>7</v>
      </c>
      <c r="AH58">
        <f>AT42</f>
        <v>49.813923647362749</v>
      </c>
      <c r="AI58">
        <f>AH58/100*$AI$65</f>
        <v>35467.275900792411</v>
      </c>
      <c r="AW58" t="s">
        <v>0</v>
      </c>
      <c r="AX58" t="s">
        <v>201</v>
      </c>
      <c r="AY58" t="s">
        <v>132</v>
      </c>
      <c r="AZ58" t="s">
        <v>320</v>
      </c>
      <c r="BB58" t="s">
        <v>136</v>
      </c>
      <c r="BC58" t="s">
        <v>140</v>
      </c>
    </row>
    <row r="59" spans="19:61" x14ac:dyDescent="0.2">
      <c r="S59" t="s">
        <v>49</v>
      </c>
      <c r="T59" s="5">
        <f>T29+T30+T31+T32*2</f>
        <v>90269.917490792082</v>
      </c>
      <c r="U59" s="5"/>
      <c r="V59" s="5"/>
      <c r="W59" s="5"/>
      <c r="X59" s="5"/>
      <c r="Y59" s="5"/>
      <c r="Z59" s="5"/>
      <c r="AA59" s="5"/>
      <c r="AB59" s="5" t="s">
        <v>49</v>
      </c>
      <c r="AC59" s="5">
        <f>AC29+AC30+AC31+AC32</f>
        <v>90263.837506260315</v>
      </c>
      <c r="AG59" t="s">
        <v>8</v>
      </c>
      <c r="AH59">
        <f t="shared" ref="AH59:AH64" si="24">AT43</f>
        <v>2.8589988855038224</v>
      </c>
      <c r="AI59">
        <f t="shared" ref="AI59:AI64" si="25">AH59/100*$AI$65</f>
        <v>2035.5935619536458</v>
      </c>
      <c r="AW59" t="s">
        <v>7</v>
      </c>
      <c r="AX59">
        <f>AT42</f>
        <v>49.813923647362749</v>
      </c>
      <c r="AY59">
        <f>AU42-AI58</f>
        <v>8821.0069843419624</v>
      </c>
      <c r="BB59" s="1">
        <v>244</v>
      </c>
      <c r="BC59" s="5">
        <f>BB59*AY59*-1</f>
        <v>-2152325.7041794388</v>
      </c>
    </row>
    <row r="60" spans="19:61" x14ac:dyDescent="0.2">
      <c r="S60" t="s">
        <v>204</v>
      </c>
      <c r="T60" s="5">
        <f>T27*2+T31*4+T32*6+T33*2</f>
        <v>596671.42266004486</v>
      </c>
      <c r="U60" s="5"/>
      <c r="V60" s="5"/>
      <c r="W60" s="5"/>
      <c r="X60" s="5"/>
      <c r="Y60" s="5"/>
      <c r="Z60" s="5"/>
      <c r="AA60" s="5"/>
      <c r="AB60" s="5" t="s">
        <v>204</v>
      </c>
      <c r="AC60" s="5">
        <f>AC27*2+AC31*4+AC33*2</f>
        <v>596559.86649852968</v>
      </c>
      <c r="AG60" t="s">
        <v>9</v>
      </c>
      <c r="AH60">
        <f t="shared" si="24"/>
        <v>38.799065305748897</v>
      </c>
      <c r="AI60">
        <f t="shared" si="25"/>
        <v>27624.749329793303</v>
      </c>
      <c r="AR60" t="s">
        <v>199</v>
      </c>
      <c r="AW60" t="s">
        <v>8</v>
      </c>
      <c r="AX60">
        <f>AT43</f>
        <v>2.8589988855038224</v>
      </c>
      <c r="AY60">
        <f t="shared" ref="AY60:AY65" si="26">AU43-AI59</f>
        <v>506.2690768104203</v>
      </c>
      <c r="BA60">
        <f>E28-AT7-AZ28-AY60</f>
        <v>-7.1273430733280065</v>
      </c>
      <c r="BB60" s="1"/>
      <c r="BC60" s="5"/>
    </row>
    <row r="61" spans="19:61" x14ac:dyDescent="0.2">
      <c r="S61" t="s">
        <v>205</v>
      </c>
      <c r="T61" s="5">
        <f>T29+T30*2+T33</f>
        <v>182337.33069916506</v>
      </c>
      <c r="U61" s="5"/>
      <c r="V61" s="5"/>
      <c r="W61" s="5"/>
      <c r="X61" s="5"/>
      <c r="Y61" s="5"/>
      <c r="Z61" s="5"/>
      <c r="AA61" s="5"/>
      <c r="AB61" s="5" t="s">
        <v>205</v>
      </c>
      <c r="AC61" s="5">
        <f>AC29+AC30*2+AC33</f>
        <v>182338.70399056762</v>
      </c>
      <c r="AG61" t="s">
        <v>10</v>
      </c>
      <c r="AH61">
        <f t="shared" si="24"/>
        <v>4.950469873368057</v>
      </c>
      <c r="AI61">
        <f t="shared" si="25"/>
        <v>3524.7109238021503</v>
      </c>
      <c r="AR61" t="s">
        <v>200</v>
      </c>
      <c r="AW61" t="s">
        <v>9</v>
      </c>
      <c r="AX61">
        <f t="shared" ref="AX61:AX65" si="27">AT44</f>
        <v>38.799065305748897</v>
      </c>
      <c r="AY61">
        <f t="shared" si="26"/>
        <v>6870.5052922702307</v>
      </c>
      <c r="AZ61">
        <f>AY61*44/1000</f>
        <v>302.30223285989013</v>
      </c>
      <c r="BB61" s="1">
        <v>283.24</v>
      </c>
      <c r="BC61" s="5">
        <f>BB61*AY61*-1</f>
        <v>-1946001.9189826201</v>
      </c>
    </row>
    <row r="62" spans="19:61" x14ac:dyDescent="0.2">
      <c r="AG62" t="s">
        <v>11</v>
      </c>
      <c r="AH62">
        <f t="shared" si="24"/>
        <v>3.5775422880164354</v>
      </c>
      <c r="AI62">
        <f t="shared" si="25"/>
        <v>2547.1930353060766</v>
      </c>
      <c r="AR62" t="s">
        <v>263</v>
      </c>
      <c r="AW62" t="s">
        <v>10</v>
      </c>
      <c r="AX62">
        <f t="shared" si="27"/>
        <v>4.950469873368057</v>
      </c>
      <c r="AY62">
        <f t="shared" si="26"/>
        <v>876.62497011648247</v>
      </c>
      <c r="AZ62">
        <f>AY62*44/1000</f>
        <v>38.571498685125235</v>
      </c>
      <c r="BB62" s="1"/>
      <c r="BC62" s="9"/>
    </row>
    <row r="63" spans="19:61" x14ac:dyDescent="0.2">
      <c r="AG63" t="s">
        <v>12</v>
      </c>
      <c r="AH63">
        <f t="shared" si="24"/>
        <v>0</v>
      </c>
      <c r="AI63">
        <f t="shared" si="25"/>
        <v>0</v>
      </c>
      <c r="AR63" t="s">
        <v>264</v>
      </c>
      <c r="AW63" t="s">
        <v>11</v>
      </c>
      <c r="AX63">
        <f t="shared" si="27"/>
        <v>3.5775422880164354</v>
      </c>
      <c r="AY63">
        <f t="shared" si="26"/>
        <v>633.50812782326193</v>
      </c>
      <c r="AZ63">
        <f>AY63*44/1000</f>
        <v>27.874357624223524</v>
      </c>
      <c r="BB63" s="1">
        <v>802.34</v>
      </c>
      <c r="BC63">
        <f>BB63*AY63*-1</f>
        <v>-508288.91127771599</v>
      </c>
    </row>
    <row r="64" spans="19:61" x14ac:dyDescent="0.2">
      <c r="AG64" t="s">
        <v>13</v>
      </c>
      <c r="AH64">
        <f t="shared" si="24"/>
        <v>0</v>
      </c>
      <c r="AI64">
        <f t="shared" si="25"/>
        <v>0</v>
      </c>
      <c r="AR64" t="s">
        <v>216</v>
      </c>
      <c r="AW64" t="s">
        <v>12</v>
      </c>
      <c r="AX64">
        <f t="shared" si="27"/>
        <v>0</v>
      </c>
      <c r="AY64">
        <f t="shared" si="26"/>
        <v>0</v>
      </c>
      <c r="BB64" s="1">
        <v>1437.2</v>
      </c>
      <c r="BC64">
        <v>0</v>
      </c>
    </row>
    <row r="65" spans="4:61" x14ac:dyDescent="0.2">
      <c r="M65" s="5"/>
      <c r="AG65" t="s">
        <v>14</v>
      </c>
      <c r="AH65" s="17">
        <f>D34*AH55</f>
        <v>1764.0194398284514</v>
      </c>
      <c r="AI65">
        <f>($A$34)*($AH$65*1000)/($E$24*$B$34)</f>
        <v>71199.522751647615</v>
      </c>
      <c r="AR65" t="s">
        <v>265</v>
      </c>
      <c r="AW65" t="s">
        <v>13</v>
      </c>
      <c r="AX65">
        <f t="shared" si="27"/>
        <v>0</v>
      </c>
      <c r="AY65">
        <f t="shared" si="26"/>
        <v>0</v>
      </c>
      <c r="BB65" s="1"/>
      <c r="BC65" s="22"/>
    </row>
    <row r="66" spans="4:61" x14ac:dyDescent="0.2">
      <c r="M66" s="1"/>
      <c r="AG66" t="s">
        <v>15</v>
      </c>
      <c r="AH66" s="40"/>
      <c r="AR66" t="s">
        <v>266</v>
      </c>
      <c r="AW66" t="s">
        <v>14</v>
      </c>
      <c r="AX66" s="9">
        <f>AY66*$E$24*$B$34/$A$34/1000</f>
        <v>438.72633023090748</v>
      </c>
      <c r="AY66">
        <f>AU49-AI65</f>
        <v>17707.914451362361</v>
      </c>
    </row>
    <row r="67" spans="4:61" x14ac:dyDescent="0.2">
      <c r="M67" s="1"/>
      <c r="AG67" t="s">
        <v>16</v>
      </c>
      <c r="AH67" s="1">
        <f>AE52</f>
        <v>0</v>
      </c>
      <c r="AW67" t="s">
        <v>15</v>
      </c>
      <c r="AX67" s="1">
        <f>AU35</f>
        <v>20</v>
      </c>
      <c r="BI67" s="17"/>
    </row>
    <row r="68" spans="4:61" x14ac:dyDescent="0.2">
      <c r="M68" s="1"/>
      <c r="AW68" t="s">
        <v>16</v>
      </c>
      <c r="AX68" s="1">
        <v>0.1</v>
      </c>
      <c r="BD68" t="s">
        <v>280</v>
      </c>
    </row>
    <row r="69" spans="4:61" x14ac:dyDescent="0.2">
      <c r="M69" s="1"/>
      <c r="AW69" t="s">
        <v>116</v>
      </c>
      <c r="BC69" s="23">
        <f>SUM(BC59:BC65)</f>
        <v>-4606616.5344397752</v>
      </c>
      <c r="BD69" s="6">
        <v>0.95</v>
      </c>
      <c r="BE69">
        <f>BC69*BD69</f>
        <v>-4376285.7077177865</v>
      </c>
      <c r="BF69" s="5">
        <f>S15-V49-V51-V54+BE69</f>
        <v>633.3185727596283</v>
      </c>
    </row>
    <row r="70" spans="4:61" x14ac:dyDescent="0.2">
      <c r="M70" s="1"/>
      <c r="O70" s="1"/>
      <c r="P70" s="5"/>
      <c r="BD70" t="s">
        <v>279</v>
      </c>
    </row>
    <row r="71" spans="4:61" x14ac:dyDescent="0.2">
      <c r="M71" s="1"/>
      <c r="O71" s="1"/>
      <c r="P71" s="5"/>
    </row>
    <row r="72" spans="4:61" x14ac:dyDescent="0.2">
      <c r="M72" s="1"/>
      <c r="AA72" s="9"/>
    </row>
    <row r="73" spans="4:61" x14ac:dyDescent="0.2">
      <c r="M73" s="9"/>
      <c r="AA73" s="17"/>
    </row>
    <row r="74" spans="4:61" x14ac:dyDescent="0.2">
      <c r="M74" s="1"/>
      <c r="N74" s="3"/>
      <c r="AA74" s="17"/>
    </row>
    <row r="75" spans="4:61" x14ac:dyDescent="0.2">
      <c r="D75" s="14"/>
      <c r="M75" s="1"/>
    </row>
    <row r="76" spans="4:61" x14ac:dyDescent="0.2">
      <c r="P76" s="5"/>
    </row>
    <row r="86" spans="6:27" x14ac:dyDescent="0.2">
      <c r="P86" s="15"/>
    </row>
    <row r="87" spans="6:27" x14ac:dyDescent="0.2">
      <c r="F87" s="14" t="s">
        <v>146</v>
      </c>
      <c r="P87" s="16" t="s">
        <v>102</v>
      </c>
    </row>
    <row r="88" spans="6:27" x14ac:dyDescent="0.2">
      <c r="F88" s="2" t="s">
        <v>118</v>
      </c>
      <c r="P88" s="15"/>
      <c r="S88" t="s">
        <v>18</v>
      </c>
      <c r="T88" t="s">
        <v>59</v>
      </c>
      <c r="U88" t="s">
        <v>56</v>
      </c>
      <c r="V88" t="s">
        <v>44</v>
      </c>
      <c r="W88" t="s">
        <v>60</v>
      </c>
      <c r="X88" t="s">
        <v>54</v>
      </c>
      <c r="Y88" t="s">
        <v>49</v>
      </c>
      <c r="AA88" t="s">
        <v>100</v>
      </c>
    </row>
    <row r="89" spans="6:27" x14ac:dyDescent="0.2">
      <c r="G89" t="s">
        <v>47</v>
      </c>
      <c r="H89" t="s">
        <v>48</v>
      </c>
      <c r="I89" t="s">
        <v>49</v>
      </c>
      <c r="J89" t="s">
        <v>33</v>
      </c>
      <c r="K89" t="s">
        <v>50</v>
      </c>
      <c r="L89" t="s">
        <v>109</v>
      </c>
      <c r="M89" t="s">
        <v>108</v>
      </c>
      <c r="N89" t="s">
        <v>144</v>
      </c>
      <c r="P89" s="15" t="s">
        <v>77</v>
      </c>
      <c r="R89" t="s">
        <v>61</v>
      </c>
      <c r="S89">
        <v>3</v>
      </c>
      <c r="T89">
        <v>1</v>
      </c>
      <c r="V89">
        <v>-1</v>
      </c>
      <c r="X89">
        <v>-1</v>
      </c>
    </row>
    <row r="90" spans="6:27" x14ac:dyDescent="0.2">
      <c r="F90" t="s">
        <v>173</v>
      </c>
      <c r="P90" s="15" t="s">
        <v>66</v>
      </c>
      <c r="R90" t="s">
        <v>62</v>
      </c>
      <c r="S90">
        <v>1</v>
      </c>
      <c r="T90">
        <v>-1</v>
      </c>
      <c r="U90">
        <v>1</v>
      </c>
      <c r="X90">
        <v>-1</v>
      </c>
      <c r="Z90" s="10" t="s">
        <v>71</v>
      </c>
      <c r="AA90" t="s">
        <v>101</v>
      </c>
    </row>
    <row r="91" spans="6:27" x14ac:dyDescent="0.2">
      <c r="F91" t="s">
        <v>18</v>
      </c>
      <c r="G91" s="1">
        <v>33.066178000000001</v>
      </c>
      <c r="H91" s="1">
        <v>-11.363417</v>
      </c>
      <c r="I91" s="1">
        <v>11.432816000000001</v>
      </c>
      <c r="J91" s="1">
        <v>-2.7728739999999998</v>
      </c>
      <c r="K91" s="1">
        <v>-0.158558</v>
      </c>
      <c r="L91" s="1">
        <f>$K$35+273</f>
        <v>663</v>
      </c>
      <c r="M91" s="1">
        <f>$D$35+273</f>
        <v>293</v>
      </c>
      <c r="N91">
        <f>(G91*(L91-M91)+H91/2000*(L91^2-M91^2)+I91/(3*10^6)*(L91^3-M91^3)+J91/(4*10^9)*(L91^4-M91^4)-(10^6*K91)*(1/M91-1/L91))/1000</f>
        <v>11.412696539760386</v>
      </c>
      <c r="P91" s="15" t="s">
        <v>78</v>
      </c>
      <c r="S91">
        <v>4</v>
      </c>
      <c r="U91">
        <v>1</v>
      </c>
      <c r="V91">
        <v>-1</v>
      </c>
      <c r="X91">
        <v>-2</v>
      </c>
      <c r="Z91" s="10" t="s">
        <v>71</v>
      </c>
    </row>
    <row r="92" spans="6:27" x14ac:dyDescent="0.2">
      <c r="F92" t="s">
        <v>55</v>
      </c>
      <c r="G92" s="1">
        <v>19.50583</v>
      </c>
      <c r="H92" s="1">
        <v>19.887049999999999</v>
      </c>
      <c r="I92" s="1">
        <v>-8.598535</v>
      </c>
      <c r="J92" s="1">
        <v>1.3697839999999999</v>
      </c>
      <c r="K92" s="1">
        <v>0.52760099999999999</v>
      </c>
      <c r="L92" s="1">
        <f t="shared" ref="L92:L97" si="28">$K$35+273</f>
        <v>663</v>
      </c>
      <c r="M92" s="1">
        <f t="shared" ref="M92:M97" si="29">$D$35+273</f>
        <v>293</v>
      </c>
      <c r="N92">
        <f>(G92*(L92-M92)+H92/2000*(L92^2-M92^2)+I92/(3*10^6)*(L92^3-M92^3)+J92/(4*10^9)*(L92^4-M92^4)-(10^6*K92)*(1/M92-1/L92))/1000</f>
        <v>9.0299095475672946</v>
      </c>
      <c r="P92" s="15" t="s">
        <v>79</v>
      </c>
      <c r="S92" s="10">
        <v>2</v>
      </c>
      <c r="T92" s="10">
        <v>2</v>
      </c>
      <c r="U92" s="10">
        <v>-1</v>
      </c>
      <c r="V92" s="10">
        <v>-1</v>
      </c>
      <c r="W92" s="10"/>
      <c r="X92" s="10"/>
      <c r="Y92" s="10"/>
    </row>
    <row r="93" spans="6:27" x14ac:dyDescent="0.2">
      <c r="F93" t="s">
        <v>59</v>
      </c>
      <c r="G93" s="1">
        <v>25.567589999999999</v>
      </c>
      <c r="H93" s="1">
        <v>6.0961299999999996</v>
      </c>
      <c r="I93" s="1">
        <v>4.0546559999999996</v>
      </c>
      <c r="J93" s="1">
        <v>-2.6713010000000001</v>
      </c>
      <c r="K93" s="1">
        <v>0.131021</v>
      </c>
      <c r="L93" s="1">
        <f t="shared" si="28"/>
        <v>663</v>
      </c>
      <c r="M93" s="1">
        <f t="shared" si="29"/>
        <v>293</v>
      </c>
      <c r="N93">
        <f>(G93*(L93-M93)+H93/2000*(L93^2-M93^2)+I93/(3*10^6)*(L93^3-M93^3)+J93/(4*10^9)*(L93^4-M93^4)-(10^6*K93)*(1/M93-1/L93))/1000</f>
        <v>10.524393639686577</v>
      </c>
      <c r="P93" s="15" t="s">
        <v>80</v>
      </c>
      <c r="Q93" t="s">
        <v>84</v>
      </c>
      <c r="S93" s="13">
        <v>-1</v>
      </c>
      <c r="T93" s="13">
        <v>-1</v>
      </c>
      <c r="U93" s="13"/>
      <c r="V93" s="13"/>
      <c r="W93" s="13"/>
      <c r="X93" s="13">
        <v>1</v>
      </c>
      <c r="Y93" s="13">
        <v>1</v>
      </c>
      <c r="Z93" s="11" t="s">
        <v>71</v>
      </c>
    </row>
    <row r="94" spans="6:27" x14ac:dyDescent="0.2">
      <c r="F94" t="s">
        <v>56</v>
      </c>
      <c r="G94" s="1">
        <v>24.997350000000001</v>
      </c>
      <c r="H94" s="1">
        <v>55.186959999999999</v>
      </c>
      <c r="I94" s="1">
        <v>-33.691369999999999</v>
      </c>
      <c r="J94" s="1">
        <v>7.9483870000000003</v>
      </c>
      <c r="K94" s="1">
        <v>-0.13663800000000001</v>
      </c>
      <c r="L94" s="1">
        <f t="shared" si="28"/>
        <v>663</v>
      </c>
      <c r="M94" s="1">
        <f t="shared" si="29"/>
        <v>293</v>
      </c>
      <c r="N94">
        <f>(G94*(L94-M94)+H94/2000*(L94^2-M94^2)+I94/(3*10^6)*(L94^3-M94^3)+J94/(4*10^9)*(L94^4-M94^4)-(10^6*K94)*(1/M94-1/L94))/1000</f>
        <v>16.648488170542745</v>
      </c>
      <c r="P94" s="15" t="s">
        <v>81</v>
      </c>
      <c r="Q94" t="s">
        <v>84</v>
      </c>
      <c r="T94">
        <v>-2</v>
      </c>
      <c r="U94">
        <v>1</v>
      </c>
      <c r="Y94">
        <v>1</v>
      </c>
      <c r="Z94" s="13" t="s">
        <v>71</v>
      </c>
    </row>
    <row r="95" spans="6:27" x14ac:dyDescent="0.2">
      <c r="F95" t="s">
        <v>44</v>
      </c>
      <c r="G95" s="1">
        <v>-0.70302900000000002</v>
      </c>
      <c r="H95" s="1">
        <v>108.4773</v>
      </c>
      <c r="I95" s="1">
        <v>-42.521569999999997</v>
      </c>
      <c r="J95" s="1">
        <v>5.8627880000000001</v>
      </c>
      <c r="K95" s="1">
        <v>0.67856499999999997</v>
      </c>
      <c r="L95" s="1">
        <f t="shared" si="28"/>
        <v>663</v>
      </c>
      <c r="M95" s="1">
        <f t="shared" si="29"/>
        <v>293</v>
      </c>
      <c r="N95">
        <f>(G95*(L95-M95)+H95/2000*(L95^2-M95^2)+I95/(3*10^6)*(L95^3-M95^3)+J95/(4*10^9)*(L95^4-M95^4)-(10^6*K95)*(1/M95-1/L95))/1000</f>
        <v>14.130909209883855</v>
      </c>
      <c r="P95" s="15" t="s">
        <v>82</v>
      </c>
      <c r="Q95" t="s">
        <v>84</v>
      </c>
      <c r="R95" t="s">
        <v>63</v>
      </c>
      <c r="S95" s="11">
        <v>2</v>
      </c>
      <c r="T95" s="11"/>
      <c r="U95" s="11"/>
      <c r="V95" s="11">
        <v>-1</v>
      </c>
      <c r="W95" s="11"/>
      <c r="X95" s="11"/>
      <c r="Y95" s="11">
        <v>1</v>
      </c>
    </row>
    <row r="96" spans="6:27" x14ac:dyDescent="0.2">
      <c r="F96" t="s">
        <v>148</v>
      </c>
      <c r="G96" s="1"/>
      <c r="H96" s="1"/>
      <c r="I96" s="1"/>
      <c r="J96" s="1"/>
      <c r="K96" s="1"/>
      <c r="L96" s="1">
        <f t="shared" si="28"/>
        <v>663</v>
      </c>
      <c r="M96" s="1">
        <f t="shared" si="29"/>
        <v>293</v>
      </c>
      <c r="N96" s="2">
        <f>N95</f>
        <v>14.130909209883855</v>
      </c>
      <c r="O96" t="s">
        <v>58</v>
      </c>
      <c r="P96" s="15" t="s">
        <v>83</v>
      </c>
      <c r="R96" t="s">
        <v>64</v>
      </c>
      <c r="S96">
        <v>5</v>
      </c>
      <c r="T96">
        <v>2</v>
      </c>
      <c r="W96">
        <v>-1</v>
      </c>
      <c r="X96">
        <v>-2</v>
      </c>
    </row>
    <row r="97" spans="6:30" x14ac:dyDescent="0.2">
      <c r="F97" t="s">
        <v>54</v>
      </c>
      <c r="G97" s="1">
        <v>30.091999999999999</v>
      </c>
      <c r="H97" s="1">
        <v>6.8325139999999998</v>
      </c>
      <c r="I97" s="1">
        <v>6.7934349999999997</v>
      </c>
      <c r="J97" s="1">
        <v>-2.5344799999999998</v>
      </c>
      <c r="K97" s="1">
        <v>8.2139000000000004E-2</v>
      </c>
      <c r="L97" s="1">
        <f t="shared" si="28"/>
        <v>663</v>
      </c>
      <c r="M97" s="1">
        <f t="shared" si="29"/>
        <v>293</v>
      </c>
      <c r="N97">
        <f>(G97*(L97-M97)+H97/2000*(L97^2-M97^2)+I97/(3*10^6)*(L97^3-M97^3)+J97/(4*10^9)*(L97^4-M97^4)-(10^6*K97)*(1/M97-1/L97))/1000</f>
        <v>12.671218017974889</v>
      </c>
      <c r="P97" s="15"/>
    </row>
    <row r="98" spans="6:30" x14ac:dyDescent="0.2">
      <c r="F98" t="s">
        <v>154</v>
      </c>
      <c r="P98" s="15" t="s">
        <v>67</v>
      </c>
      <c r="Q98" t="s">
        <v>69</v>
      </c>
      <c r="S98" s="10">
        <f t="shared" ref="S98:Y98" si="30">S89-S90</f>
        <v>2</v>
      </c>
      <c r="T98" s="10">
        <f t="shared" si="30"/>
        <v>2</v>
      </c>
      <c r="U98" s="10">
        <f t="shared" si="30"/>
        <v>-1</v>
      </c>
      <c r="V98" s="10">
        <f t="shared" si="30"/>
        <v>-1</v>
      </c>
      <c r="W98" s="10">
        <f t="shared" si="30"/>
        <v>0</v>
      </c>
      <c r="X98" s="10">
        <f t="shared" si="30"/>
        <v>0</v>
      </c>
      <c r="Y98" s="10">
        <f t="shared" si="30"/>
        <v>0</v>
      </c>
    </row>
    <row r="99" spans="6:30" x14ac:dyDescent="0.2">
      <c r="F99" t="s">
        <v>18</v>
      </c>
      <c r="G99" s="1">
        <v>33.066178000000001</v>
      </c>
      <c r="H99" s="1">
        <v>-11.363417</v>
      </c>
      <c r="I99" s="1">
        <v>11.432816000000001</v>
      </c>
      <c r="J99" s="1">
        <v>-2.7728739999999998</v>
      </c>
      <c r="K99" s="1">
        <v>-0.158558</v>
      </c>
      <c r="L99" s="1">
        <f>$S$35+273</f>
        <v>793</v>
      </c>
      <c r="M99" s="1">
        <f t="shared" ref="M99:M104" si="31">$K$35+273</f>
        <v>663</v>
      </c>
      <c r="N99">
        <f>(G99*(L99-M99)+H99/2000*(L99^2-M99^2)+I99/(3*10^6)*(L99^3-M99^3)+J99/(4*10^9)*(L99^4-M99^4)-(10^6*K99)*(1/M99-1/L99))/1000</f>
        <v>3.9119753691091494</v>
      </c>
      <c r="P99" s="15" t="s">
        <v>68</v>
      </c>
      <c r="Q99" t="s">
        <v>70</v>
      </c>
      <c r="S99" s="10">
        <f t="shared" ref="S99:Y99" si="32">2*S89-S91</f>
        <v>2</v>
      </c>
      <c r="T99" s="10">
        <f t="shared" si="32"/>
        <v>2</v>
      </c>
      <c r="U99" s="10">
        <f t="shared" si="32"/>
        <v>-1</v>
      </c>
      <c r="V99" s="10">
        <f t="shared" si="32"/>
        <v>-1</v>
      </c>
      <c r="W99" s="10">
        <f t="shared" si="32"/>
        <v>0</v>
      </c>
      <c r="X99" s="10">
        <f t="shared" si="32"/>
        <v>0</v>
      </c>
      <c r="Y99" s="10">
        <f t="shared" si="32"/>
        <v>0</v>
      </c>
    </row>
    <row r="100" spans="6:30" x14ac:dyDescent="0.2">
      <c r="F100" t="s">
        <v>55</v>
      </c>
      <c r="G100" s="1">
        <v>19.50583</v>
      </c>
      <c r="H100" s="1">
        <v>19.887049999999999</v>
      </c>
      <c r="I100" s="1">
        <v>-8.598535</v>
      </c>
      <c r="J100" s="1">
        <v>1.3697839999999999</v>
      </c>
      <c r="K100" s="1">
        <v>0.52760099999999999</v>
      </c>
      <c r="L100" s="1">
        <f t="shared" ref="L100:L105" si="33">$S$35+273</f>
        <v>793</v>
      </c>
      <c r="M100" s="1">
        <f t="shared" si="31"/>
        <v>663</v>
      </c>
      <c r="N100">
        <f>(G100*(L100-M100)+H100/2000*(L100^2-M100^2)+I100/(3*10^6)*(L100^3-M100^3)+J100/(4*10^9)*(L100^4-M100^4)-(10^6*K100)*(1/M100-1/L100))/1000</f>
        <v>3.7626703402191102</v>
      </c>
      <c r="P100" s="15" t="s">
        <v>85</v>
      </c>
      <c r="Q100" t="s">
        <v>86</v>
      </c>
      <c r="S100" s="11">
        <f t="shared" ref="S100:Y100" si="34">S89+S93</f>
        <v>2</v>
      </c>
      <c r="T100" s="11">
        <f t="shared" si="34"/>
        <v>0</v>
      </c>
      <c r="U100" s="11">
        <f t="shared" si="34"/>
        <v>0</v>
      </c>
      <c r="V100" s="11">
        <f t="shared" si="34"/>
        <v>-1</v>
      </c>
      <c r="W100" s="11">
        <f t="shared" si="34"/>
        <v>0</v>
      </c>
      <c r="X100" s="11">
        <f t="shared" si="34"/>
        <v>0</v>
      </c>
      <c r="Y100" s="11">
        <f t="shared" si="34"/>
        <v>1</v>
      </c>
    </row>
    <row r="101" spans="6:30" x14ac:dyDescent="0.2">
      <c r="F101" t="s">
        <v>59</v>
      </c>
      <c r="G101" s="1">
        <v>25.567589999999999</v>
      </c>
      <c r="H101" s="1">
        <v>6.0961299999999996</v>
      </c>
      <c r="I101" s="1">
        <v>4.0546559999999996</v>
      </c>
      <c r="J101" s="1">
        <v>-2.6713010000000001</v>
      </c>
      <c r="K101" s="1">
        <v>0.131021</v>
      </c>
      <c r="L101" s="1">
        <f t="shared" si="33"/>
        <v>793</v>
      </c>
      <c r="M101" s="1">
        <f t="shared" si="31"/>
        <v>663</v>
      </c>
      <c r="N101">
        <f t="shared" ref="N101:N102" si="35">(G101*(L101-M101)+H101/2000*(L101^2-M101^2)+I101/(3*10^6)*(L101^3-M101^3)+J101/(4*10^9)*(L101^4-M101^4)-(10^6*K101)*(1/M101-1/L101))/1000</f>
        <v>4.0133732821188897</v>
      </c>
      <c r="P101" s="15" t="s">
        <v>87</v>
      </c>
      <c r="Q101" s="12" t="s">
        <v>88</v>
      </c>
      <c r="S101" s="13">
        <f t="shared" ref="S101:Y101" si="36">S94-S90</f>
        <v>-1</v>
      </c>
      <c r="T101" s="13">
        <f t="shared" si="36"/>
        <v>-1</v>
      </c>
      <c r="U101" s="13">
        <f t="shared" si="36"/>
        <v>0</v>
      </c>
      <c r="V101" s="13">
        <f t="shared" si="36"/>
        <v>0</v>
      </c>
      <c r="W101" s="13">
        <f t="shared" si="36"/>
        <v>0</v>
      </c>
      <c r="X101" s="13">
        <f t="shared" si="36"/>
        <v>1</v>
      </c>
      <c r="Y101" s="13">
        <f t="shared" si="36"/>
        <v>1</v>
      </c>
    </row>
    <row r="102" spans="6:30" x14ac:dyDescent="0.2">
      <c r="F102" t="s">
        <v>56</v>
      </c>
      <c r="G102" s="1">
        <v>24.997350000000001</v>
      </c>
      <c r="H102" s="1">
        <v>55.186959999999999</v>
      </c>
      <c r="I102" s="1">
        <v>-33.691369999999999</v>
      </c>
      <c r="J102" s="1">
        <v>7.9483870000000003</v>
      </c>
      <c r="K102" s="1">
        <v>-0.13663800000000001</v>
      </c>
      <c r="L102" s="1">
        <f t="shared" si="33"/>
        <v>793</v>
      </c>
      <c r="M102" s="1">
        <f t="shared" si="31"/>
        <v>663</v>
      </c>
      <c r="N102">
        <f t="shared" si="35"/>
        <v>6.5807519704037611</v>
      </c>
      <c r="P102" s="15"/>
    </row>
    <row r="103" spans="6:30" x14ac:dyDescent="0.2">
      <c r="F103" t="s">
        <v>44</v>
      </c>
      <c r="G103" s="1">
        <v>-0.70302900000000002</v>
      </c>
      <c r="H103" s="1">
        <v>108.4773</v>
      </c>
      <c r="I103" s="1">
        <v>-42.521569999999997</v>
      </c>
      <c r="J103" s="1">
        <v>5.8627880000000001</v>
      </c>
      <c r="K103" s="1">
        <v>0.67856499999999997</v>
      </c>
      <c r="L103" s="1">
        <f t="shared" si="33"/>
        <v>793</v>
      </c>
      <c r="M103" s="1">
        <f t="shared" si="31"/>
        <v>663</v>
      </c>
      <c r="N103">
        <f>(G103*(L103-M103)+H103/2000*(L103^2-M103^2)+I103/(3*10^6)*(L103^3-M103^3)+J103/(4*10^9)*(L103^4-M103^4)-(10^6*K103)*(1/M103-1/L103))/1000</f>
        <v>7.3660902678144407</v>
      </c>
      <c r="P103" s="15"/>
      <c r="AB103" s="15" t="s">
        <v>96</v>
      </c>
    </row>
    <row r="104" spans="6:30" x14ac:dyDescent="0.2">
      <c r="F104" t="s">
        <v>148</v>
      </c>
      <c r="G104" s="1"/>
      <c r="H104" s="1"/>
      <c r="I104" s="1"/>
      <c r="J104" s="1"/>
      <c r="K104" s="1"/>
      <c r="L104" s="1">
        <f t="shared" si="33"/>
        <v>793</v>
      </c>
      <c r="M104" s="1">
        <f t="shared" si="31"/>
        <v>663</v>
      </c>
      <c r="N104" s="2">
        <f>N103</f>
        <v>7.3660902678144407</v>
      </c>
      <c r="P104" s="15"/>
      <c r="S104" t="s">
        <v>61</v>
      </c>
      <c r="T104" t="s">
        <v>62</v>
      </c>
      <c r="U104" t="s">
        <v>63</v>
      </c>
      <c r="V104" t="s">
        <v>64</v>
      </c>
      <c r="AB104" s="15" t="s">
        <v>97</v>
      </c>
      <c r="AC104" t="s">
        <v>98</v>
      </c>
      <c r="AD104" t="s">
        <v>99</v>
      </c>
    </row>
    <row r="105" spans="6:30" x14ac:dyDescent="0.2">
      <c r="F105" t="s">
        <v>218</v>
      </c>
      <c r="G105" s="1">
        <v>30.091999999999999</v>
      </c>
      <c r="H105" s="1">
        <v>6.8325139999999998</v>
      </c>
      <c r="I105" s="1">
        <v>6.7934349999999997</v>
      </c>
      <c r="J105" s="1">
        <v>-2.5344799999999998</v>
      </c>
      <c r="K105" s="1">
        <v>8.2139000000000004E-2</v>
      </c>
      <c r="L105" s="1">
        <f t="shared" si="33"/>
        <v>793</v>
      </c>
      <c r="M105" s="1">
        <f>$P$17+273</f>
        <v>663</v>
      </c>
      <c r="N105">
        <f>(G105*(L105-M105)+H105/2000*(L105^2-M105^2)+I105/(3*10^6)*(L105^3-M105^3)+J105/(4*10^9)*(L105^4-M105^4)-(10^6*K105)*(1/M105-1/L105))/1000</f>
        <v>4.8794395387115959</v>
      </c>
      <c r="P105" s="15"/>
      <c r="R105" t="s">
        <v>65</v>
      </c>
      <c r="S105">
        <f>S89</f>
        <v>3</v>
      </c>
      <c r="T105">
        <f>S90</f>
        <v>1</v>
      </c>
      <c r="U105">
        <f>S95</f>
        <v>2</v>
      </c>
      <c r="V105">
        <f>S96</f>
        <v>5</v>
      </c>
      <c r="X105" s="12"/>
      <c r="Z105" s="5"/>
      <c r="AB105" s="15">
        <f>AB27/100*AC34-S27/100*T34</f>
        <v>174496.34888123712</v>
      </c>
      <c r="AC105">
        <f>S105*Z$108+T105*Z$107+U105*Z$111+V105*Z$109</f>
        <v>174559.58023792907</v>
      </c>
      <c r="AD105" s="7">
        <f>(AC105-AB105)/AB105</f>
        <v>3.6236492681564897E-4</v>
      </c>
    </row>
    <row r="106" spans="6:30" x14ac:dyDescent="0.2">
      <c r="F106" t="s">
        <v>206</v>
      </c>
      <c r="P106" s="15"/>
      <c r="R106" t="s">
        <v>72</v>
      </c>
      <c r="S106">
        <f>T89</f>
        <v>1</v>
      </c>
      <c r="T106">
        <f>T90</f>
        <v>-1</v>
      </c>
      <c r="V106">
        <f>T96</f>
        <v>2</v>
      </c>
      <c r="Z106" s="5"/>
      <c r="AB106" s="15">
        <f>AB29/100*AC34-S29/100*T34</f>
        <v>45490.450938267953</v>
      </c>
      <c r="AC106">
        <f>S106*Z$108+T106*Z$107+U106*Z$111+V106*Z$109</f>
        <v>45496.530922799728</v>
      </c>
      <c r="AD106" s="7">
        <f>(AC106-AB106)/AB106</f>
        <v>1.3365408357954032E-4</v>
      </c>
    </row>
    <row r="107" spans="6:30" x14ac:dyDescent="0.2">
      <c r="F107" t="s">
        <v>18</v>
      </c>
      <c r="G107" s="1">
        <v>33.066178000000001</v>
      </c>
      <c r="H107" s="1">
        <v>-11.363417</v>
      </c>
      <c r="I107" s="1">
        <v>11.432816000000001</v>
      </c>
      <c r="J107" s="1">
        <v>-2.7728739999999998</v>
      </c>
      <c r="K107" s="1">
        <v>-0.158558</v>
      </c>
      <c r="L107" s="1">
        <f t="shared" ref="L107:L113" si="37">$AB$35+273</f>
        <v>1373</v>
      </c>
      <c r="M107" s="1">
        <f t="shared" ref="M107:M113" si="38">$S$35+273</f>
        <v>793</v>
      </c>
      <c r="N107">
        <f>(G107*(L107-M107)+H107/2000*(L107^2-M107^2)+I107/(3*10^6)*(L107^3-M107^3)+J107/(4*10^9)*(L107^4-M107^4)-(10^6*K107)*(1/M107-1/L107))/1000</f>
        <v>17.899022141836681</v>
      </c>
      <c r="P107" s="15"/>
      <c r="R107" t="s">
        <v>73</v>
      </c>
      <c r="T107">
        <f>U90</f>
        <v>1</v>
      </c>
      <c r="W107">
        <f>AB30/100*AC34-S30/100*T34</f>
        <v>10000.439366666902</v>
      </c>
      <c r="X107" s="12" t="s">
        <v>91</v>
      </c>
      <c r="Y107" t="s">
        <v>94</v>
      </c>
      <c r="Z107" s="5">
        <f>W107*T107</f>
        <v>10000.439366666902</v>
      </c>
      <c r="AA107" t="s">
        <v>95</v>
      </c>
      <c r="AB107" s="15"/>
    </row>
    <row r="108" spans="6:30" x14ac:dyDescent="0.2">
      <c r="F108" t="s">
        <v>55</v>
      </c>
      <c r="G108" s="1">
        <v>19.50583</v>
      </c>
      <c r="H108" s="1">
        <v>19.887049999999999</v>
      </c>
      <c r="I108" s="1">
        <v>-8.598535</v>
      </c>
      <c r="J108" s="1">
        <v>1.3697839999999999</v>
      </c>
      <c r="K108" s="1">
        <v>0.52760099999999999</v>
      </c>
      <c r="L108" s="1">
        <f t="shared" si="37"/>
        <v>1373</v>
      </c>
      <c r="M108" s="1">
        <f t="shared" si="38"/>
        <v>793</v>
      </c>
      <c r="N108">
        <f>(G108*(L108-M108)+H108/2000*(L108^2-M108^2)+I108/(3*10^6)*(L108^3-M108^3)+J108/(4*10^9)*(L108^4-M108^4)-(10^6*K108)*(1/M108-1/L108))/1000</f>
        <v>18.616532342350759</v>
      </c>
      <c r="P108" s="15"/>
      <c r="R108" t="s">
        <v>74</v>
      </c>
      <c r="S108">
        <f>V89</f>
        <v>-1</v>
      </c>
      <c r="U108">
        <f>V95</f>
        <v>-1</v>
      </c>
      <c r="W108">
        <f>AB31/100*AC34-S31/100*T34</f>
        <v>-51633.430295191181</v>
      </c>
      <c r="X108" s="12" t="s">
        <v>91</v>
      </c>
      <c r="Y108" t="s">
        <v>92</v>
      </c>
      <c r="Z108" s="5">
        <f>(W108-(U108*Z111))/S108</f>
        <v>51633.430295191181</v>
      </c>
      <c r="AA108" t="s">
        <v>95</v>
      </c>
      <c r="AB108" s="15"/>
      <c r="AD108" s="7"/>
    </row>
    <row r="109" spans="6:30" x14ac:dyDescent="0.2">
      <c r="F109" t="s">
        <v>59</v>
      </c>
      <c r="G109" s="1">
        <v>25.567589999999999</v>
      </c>
      <c r="H109" s="1">
        <v>6.0961299999999996</v>
      </c>
      <c r="I109" s="1">
        <v>4.0546559999999996</v>
      </c>
      <c r="J109" s="1">
        <v>-2.6713010000000001</v>
      </c>
      <c r="K109" s="1">
        <v>0.131021</v>
      </c>
      <c r="L109" s="1">
        <f t="shared" si="37"/>
        <v>1373</v>
      </c>
      <c r="M109" s="1">
        <f t="shared" si="38"/>
        <v>793</v>
      </c>
      <c r="N109">
        <f>(G109*(L109-M109)+H109/2000*(L109^2-M109^2)+I109/(3*10^6)*(L109^3-M109^3)+J109/(4*10^9)*(L109^4-M109^4)-(10^6*K109)*(1/M109-1/L109))/1000</f>
        <v>19.303673824287412</v>
      </c>
      <c r="P109" s="15"/>
      <c r="R109" t="s">
        <v>75</v>
      </c>
      <c r="V109">
        <f>W96</f>
        <v>-1</v>
      </c>
      <c r="W109">
        <f>AB32/100*AC34-S32/100*T34</f>
        <v>-1931.7699971377263</v>
      </c>
      <c r="X109" s="12" t="s">
        <v>91</v>
      </c>
      <c r="Y109" t="s">
        <v>93</v>
      </c>
      <c r="Z109" s="5">
        <f>W109*V109</f>
        <v>1931.7699971377263</v>
      </c>
      <c r="AA109" t="s">
        <v>95</v>
      </c>
      <c r="AB109" s="15"/>
    </row>
    <row r="110" spans="6:30" x14ac:dyDescent="0.2">
      <c r="F110" t="s">
        <v>56</v>
      </c>
      <c r="G110" s="1">
        <v>24.997350000000001</v>
      </c>
      <c r="H110" s="1">
        <v>55.186959999999999</v>
      </c>
      <c r="I110" s="1">
        <v>-33.691369999999999</v>
      </c>
      <c r="J110" s="1">
        <v>7.9483870000000003</v>
      </c>
      <c r="K110" s="1">
        <v>-0.13663800000000001</v>
      </c>
      <c r="L110" s="1">
        <f t="shared" si="37"/>
        <v>1373</v>
      </c>
      <c r="M110" s="1">
        <f t="shared" si="38"/>
        <v>793</v>
      </c>
      <c r="N110">
        <f>(G110*(L110-M110)+H110/2000*(L110^2-M110^2)+I110/(3*10^6)*(L110^3-M110^3)+J110/(4*10^9)*(L110^4-M110^4)-(10^6*K110)*(1/M110-1/L110))/1000</f>
        <v>32.04493929151495</v>
      </c>
      <c r="P110" s="15"/>
      <c r="R110" t="s">
        <v>76</v>
      </c>
      <c r="S110">
        <f>X89</f>
        <v>-1</v>
      </c>
      <c r="T110">
        <f>X90</f>
        <v>-1</v>
      </c>
      <c r="V110">
        <v>-2</v>
      </c>
      <c r="X110" s="12"/>
      <c r="Z110" s="5"/>
      <c r="AB110" s="15">
        <f>AB33/100*AC34-S33/100*T34</f>
        <v>-65489.956380199204</v>
      </c>
      <c r="AC110">
        <f>S110*Z$108+T110*Z$107+U110*Z$111+V110*Z$109</f>
        <v>-65497.409656133539</v>
      </c>
      <c r="AD110" s="7">
        <f>(AC110-AB110)/AB110</f>
        <v>1.1380792332590646E-4</v>
      </c>
    </row>
    <row r="111" spans="6:30" x14ac:dyDescent="0.2">
      <c r="F111" t="s">
        <v>44</v>
      </c>
      <c r="G111" s="1">
        <v>-0.70302900000000002</v>
      </c>
      <c r="H111" s="1">
        <v>108.4773</v>
      </c>
      <c r="I111" s="1">
        <v>-42.521569999999997</v>
      </c>
      <c r="J111" s="1">
        <v>5.8627880000000001</v>
      </c>
      <c r="K111" s="1">
        <v>0.67856499999999997</v>
      </c>
      <c r="L111" s="1">
        <f t="shared" si="37"/>
        <v>1373</v>
      </c>
      <c r="M111" s="1">
        <f t="shared" si="38"/>
        <v>793</v>
      </c>
      <c r="N111">
        <f>(G111*(L111-M111)+H111/2000*(L111^2-M111^2)+I111/(3*10^6)*(L111^3-M111^3)+J111/(4*10^9)*(L111^4-M111^4)-(10^6*K111)*(1/M111-1/L111))/1000</f>
        <v>42.380994362607822</v>
      </c>
      <c r="P111" s="15"/>
      <c r="R111" t="s">
        <v>89</v>
      </c>
      <c r="U111">
        <f>Y95</f>
        <v>1</v>
      </c>
      <c r="W111">
        <v>0</v>
      </c>
      <c r="X111" s="12" t="s">
        <v>91</v>
      </c>
      <c r="Y111" t="s">
        <v>90</v>
      </c>
      <c r="Z111">
        <v>0</v>
      </c>
      <c r="AA111" t="s">
        <v>95</v>
      </c>
      <c r="AB111" s="15">
        <v>0</v>
      </c>
      <c r="AC111">
        <f>S111*Z$110+T111*Z$107+U111*Z$105+V111*Z$109</f>
        <v>0</v>
      </c>
    </row>
    <row r="112" spans="6:30" x14ac:dyDescent="0.2">
      <c r="F112" t="s">
        <v>148</v>
      </c>
      <c r="G112" s="1"/>
      <c r="H112" s="1"/>
      <c r="I112" s="1"/>
      <c r="J112" s="1"/>
      <c r="K112" s="1"/>
      <c r="L112" s="1">
        <f t="shared" si="37"/>
        <v>1373</v>
      </c>
      <c r="M112" s="1">
        <f t="shared" si="38"/>
        <v>793</v>
      </c>
      <c r="N112" s="2">
        <f>N111</f>
        <v>42.380994362607822</v>
      </c>
      <c r="P112" s="15"/>
    </row>
    <row r="113" spans="6:36" x14ac:dyDescent="0.2">
      <c r="F113" t="s">
        <v>54</v>
      </c>
      <c r="G113" s="1">
        <v>30.091999999999999</v>
      </c>
      <c r="H113" s="1">
        <v>6.8325139999999998</v>
      </c>
      <c r="I113" s="1">
        <v>6.7934349999999997</v>
      </c>
      <c r="J113" s="1">
        <v>-2.5344799999999998</v>
      </c>
      <c r="K113" s="1">
        <v>8.2139000000000004E-2</v>
      </c>
      <c r="L113" s="1">
        <f t="shared" si="37"/>
        <v>1373</v>
      </c>
      <c r="M113" s="1">
        <f t="shared" si="38"/>
        <v>793</v>
      </c>
      <c r="N113">
        <f>(G113*(L113-M113)+H113/2000*(L113^2-M113^2)+I113/(3*10^6)*(L113^3-M113^3)+J113/(4*10^9)*(L113^4-M113^4)-(10^6*K113)*(1/M113-1/L113))/1000</f>
        <v>24.432107791175742</v>
      </c>
      <c r="P113" s="15"/>
    </row>
    <row r="114" spans="6:36" x14ac:dyDescent="0.2">
      <c r="F114" t="s">
        <v>315</v>
      </c>
      <c r="P114" s="16" t="s">
        <v>103</v>
      </c>
    </row>
    <row r="115" spans="6:36" x14ac:dyDescent="0.2">
      <c r="F115" t="s">
        <v>18</v>
      </c>
      <c r="G115" s="1">
        <v>33.066178000000001</v>
      </c>
      <c r="H115" s="1">
        <v>-11.363417</v>
      </c>
      <c r="I115" s="1">
        <v>11.432816000000001</v>
      </c>
      <c r="J115" s="1">
        <v>-2.7728739999999998</v>
      </c>
      <c r="K115" s="1">
        <v>-0.158558</v>
      </c>
      <c r="L115" s="1">
        <f>$AD$24+273</f>
        <v>793</v>
      </c>
      <c r="M115" s="1">
        <f>$AB$35+273</f>
        <v>1373</v>
      </c>
      <c r="N115">
        <f>(G115*(L115-M115)+H115/2000*(L115^2-M115^2)+I115/(3*10^6)*(L115^3-M115^3)+J115/(4*10^9)*(L115^4-M115^4)-(10^6*K115)*(1/M115-1/L115))/1000</f>
        <v>-17.899022141836681</v>
      </c>
      <c r="P115" s="15"/>
      <c r="AH115" s="2" t="s">
        <v>127</v>
      </c>
    </row>
    <row r="116" spans="6:36" x14ac:dyDescent="0.2">
      <c r="F116" t="s">
        <v>55</v>
      </c>
      <c r="G116" s="1">
        <v>19.50583</v>
      </c>
      <c r="H116" s="1">
        <v>19.887049999999999</v>
      </c>
      <c r="I116" s="1">
        <v>-8.598535</v>
      </c>
      <c r="J116" s="1">
        <v>1.3697839999999999</v>
      </c>
      <c r="K116" s="1">
        <v>0.52760099999999999</v>
      </c>
      <c r="L116" s="1">
        <f t="shared" ref="L116:L121" si="39">$AD$24+273</f>
        <v>793</v>
      </c>
      <c r="M116" s="1">
        <f t="shared" ref="M116:M121" si="40">$AB$35+273</f>
        <v>1373</v>
      </c>
      <c r="N116">
        <f>(G116*(L116-M116)+H116/2000*(L116^2-M116^2)+I116/(3*10^6)*(L116^3-M116^3)+J116/(4*10^9)*(L116^4-M116^4)-(10^6*K116)*(1/M116-1/L116))/1000</f>
        <v>-18.616532342350759</v>
      </c>
      <c r="P116" s="15"/>
      <c r="Q116" t="s">
        <v>104</v>
      </c>
      <c r="R116" t="s">
        <v>105</v>
      </c>
      <c r="S116" t="s">
        <v>145</v>
      </c>
      <c r="T116" t="s">
        <v>328</v>
      </c>
      <c r="U116" t="s">
        <v>329</v>
      </c>
      <c r="V116" t="s">
        <v>330</v>
      </c>
      <c r="W116" t="s">
        <v>331</v>
      </c>
      <c r="X116" t="s">
        <v>332</v>
      </c>
      <c r="Y116" t="s">
        <v>335</v>
      </c>
      <c r="Z116" t="s">
        <v>336</v>
      </c>
      <c r="AA116" t="s">
        <v>337</v>
      </c>
      <c r="AB116" t="s">
        <v>338</v>
      </c>
      <c r="AC116" t="s">
        <v>339</v>
      </c>
      <c r="AD116" t="s">
        <v>109</v>
      </c>
      <c r="AE116" t="s">
        <v>342</v>
      </c>
      <c r="AF116" t="s">
        <v>108</v>
      </c>
      <c r="AG116" t="s">
        <v>144</v>
      </c>
      <c r="AH116" t="s">
        <v>107</v>
      </c>
    </row>
    <row r="117" spans="6:36" x14ac:dyDescent="0.2">
      <c r="F117" t="s">
        <v>59</v>
      </c>
      <c r="G117" s="1">
        <v>25.567589999999999</v>
      </c>
      <c r="H117" s="1">
        <v>6.0961299999999996</v>
      </c>
      <c r="I117" s="1">
        <v>4.0546559999999996</v>
      </c>
      <c r="J117" s="1">
        <v>-2.6713010000000001</v>
      </c>
      <c r="K117" s="1">
        <v>0.131021</v>
      </c>
      <c r="L117" s="1">
        <f t="shared" si="39"/>
        <v>793</v>
      </c>
      <c r="M117" s="1">
        <f t="shared" si="40"/>
        <v>1373</v>
      </c>
      <c r="N117">
        <f>(G117*(L117-M117)+H117/2000*(L117^2-M117^2)+I117/(3*10^6)*(L117^3-M117^3)+J117/(4*10^9)*(L117^4-M117^4)-(10^6*K117)*(1/M117-1/L117))/1000</f>
        <v>-19.303673824287412</v>
      </c>
      <c r="P117" s="15" t="s">
        <v>77</v>
      </c>
      <c r="Q117" t="s">
        <v>44</v>
      </c>
      <c r="R117">
        <v>-1</v>
      </c>
      <c r="S117" s="1">
        <v>-74.599999999999994</v>
      </c>
      <c r="T117" s="1">
        <f>INDEX(Sheet1!$E$5:$R$11,MATCH($Q117,Sheet1!$A$5:$A$11,0),MATCH(T$116,Sheet1!$E$4:$R$4,0))</f>
        <v>5.14987613</v>
      </c>
      <c r="U117" s="1">
        <f>INDEX(Sheet1!$E$5:$R$11,MATCH($Q117,Sheet1!$A$5:$A$11,0),MATCH(U$116,Sheet1!$E$4:$R$4,0))</f>
        <v>-1.3670978800000001E-2</v>
      </c>
      <c r="V117" s="1">
        <f>INDEX(Sheet1!$E$5:$R$11,MATCH($Q117,Sheet1!$A$5:$A$11,0),MATCH(V$116,Sheet1!$E$4:$R$4,0))</f>
        <v>4.9180059899999999E-5</v>
      </c>
      <c r="W117" s="1">
        <f>INDEX(Sheet1!$E$5:$R$11,MATCH($Q117,Sheet1!$A$5:$A$11,0),MATCH(W$116,Sheet1!$E$4:$R$4,0))</f>
        <v>-4.8474302600000002E-8</v>
      </c>
      <c r="X117" s="1">
        <f>INDEX(Sheet1!$E$5:$R$11,MATCH($Q117,Sheet1!$A$5:$A$11,0),MATCH(X$116,Sheet1!$E$4:$R$4,0))</f>
        <v>1.6669395599999999E-11</v>
      </c>
      <c r="Y117" s="1">
        <f>INDEX(Sheet1!$E$5:$R$11,MATCH($Q117,Sheet1!$A$5:$A$11,0),MATCH(Y$116,Sheet1!$E$4:$R$4,0))</f>
        <v>7.4851495000000004E-2</v>
      </c>
      <c r="Z117" s="1">
        <f>INDEX(Sheet1!$E$5:$R$11,MATCH($Q117,Sheet1!$A$5:$A$11,0),MATCH(Z$116,Sheet1!$E$4:$R$4,0))</f>
        <v>1.33909467E-2</v>
      </c>
      <c r="AA117" s="1">
        <f>INDEX(Sheet1!$E$5:$R$11,MATCH($Q117,Sheet1!$A$5:$A$11,0),MATCH(AA$116,Sheet1!$E$4:$R$4,0))</f>
        <v>-5.73285809E-6</v>
      </c>
      <c r="AB117" s="1">
        <f>INDEX(Sheet1!$E$5:$R$11,MATCH($Q117,Sheet1!$A$5:$A$11,0),MATCH(AB$116,Sheet1!$E$4:$R$4,0))</f>
        <v>1.22292535E-9</v>
      </c>
      <c r="AC117" s="1">
        <f>INDEX(Sheet1!$E$5:$R$11,MATCH($Q117,Sheet1!$A$5:$A$11,0),MATCH(AC$116,Sheet1!$E$4:$R$4,0))</f>
        <v>-1.0181523E-13</v>
      </c>
      <c r="AD117" s="1">
        <f>$AB$35+273</f>
        <v>1373</v>
      </c>
      <c r="AE117" s="1">
        <v>1000</v>
      </c>
      <c r="AF117" s="1">
        <v>298</v>
      </c>
      <c r="AG117">
        <f>Sheet1!$S$2*(T117*(AE117-AF117)+U117/2*(AE117^2-AF117^2)+V117/3*(AE117^3-AF117^3)+W117/4*(AE117^4-AF117^4)+X117/5*(AE117^5-AF117^5))/1000+Sheet1!$S$2*(Y117*(AD117-AE117)+Z117/2*(AD117^2-AE117^2)+AA117/3*(AD117^3-AE117^3)+AB117/4*(AD117^4-AE117^4)+AC117/5*(AD117^5-AE117^5))/1000</f>
        <v>68.758507845995155</v>
      </c>
      <c r="AH117" t="s">
        <v>57</v>
      </c>
    </row>
    <row r="118" spans="6:36" x14ac:dyDescent="0.2">
      <c r="F118" t="s">
        <v>56</v>
      </c>
      <c r="G118" s="1">
        <v>24.997350000000001</v>
      </c>
      <c r="H118" s="1">
        <v>55.186959999999999</v>
      </c>
      <c r="I118" s="1">
        <v>-33.691369999999999</v>
      </c>
      <c r="J118" s="1">
        <v>7.9483870000000003</v>
      </c>
      <c r="K118" s="1">
        <v>-0.13663800000000001</v>
      </c>
      <c r="L118" s="1">
        <f t="shared" si="39"/>
        <v>793</v>
      </c>
      <c r="M118" s="1">
        <f t="shared" si="40"/>
        <v>1373</v>
      </c>
      <c r="N118">
        <f>(G118*(L118-M118)+H118/2000*(L118^2-M118^2)+I118/(3*10^6)*(L118^3-M118^3)+J118/(4*10^9)*(L118^4-M118^4)-(10^6*K118)*(1/M118-1/L118))/1000</f>
        <v>-32.04493929151495</v>
      </c>
      <c r="P118" s="15"/>
      <c r="Q118" t="s">
        <v>54</v>
      </c>
      <c r="R118">
        <v>-1</v>
      </c>
      <c r="S118" s="1">
        <v>-241.8</v>
      </c>
      <c r="T118" s="1">
        <f>INDEX(Sheet1!$E$5:$R$11,MATCH($Q118,Sheet1!$A$5:$A$11,0),MATCH(T$116,Sheet1!$E$4:$R$4,0))</f>
        <v>4.1986405600000003</v>
      </c>
      <c r="U118" s="1">
        <f>INDEX(Sheet1!$E$5:$R$11,MATCH($Q118,Sheet1!$A$5:$A$11,0),MATCH(U$116,Sheet1!$E$4:$R$4,0))</f>
        <v>-2.0364341000000002E-3</v>
      </c>
      <c r="V118" s="1">
        <f>INDEX(Sheet1!$E$5:$R$11,MATCH($Q118,Sheet1!$A$5:$A$11,0),MATCH(V$116,Sheet1!$E$4:$R$4,0))</f>
        <v>6.5204021099999997E-6</v>
      </c>
      <c r="W118" s="1">
        <f>INDEX(Sheet1!$E$5:$R$11,MATCH($Q118,Sheet1!$A$5:$A$11,0),MATCH(W$116,Sheet1!$E$4:$R$4,0))</f>
        <v>-5.4879706200000003E-9</v>
      </c>
      <c r="X118" s="1">
        <f>INDEX(Sheet1!$E$5:$R$11,MATCH($Q118,Sheet1!$A$5:$A$11,0),MATCH(X$116,Sheet1!$E$4:$R$4,0))</f>
        <v>1.77197817E-12</v>
      </c>
      <c r="Y118" s="1">
        <f>INDEX(Sheet1!$E$5:$R$11,MATCH($Q118,Sheet1!$A$5:$A$11,0),MATCH(Y$116,Sheet1!$E$4:$R$4,0))</f>
        <v>3.0339924900000002</v>
      </c>
      <c r="Z118" s="1">
        <f>INDEX(Sheet1!$E$5:$R$11,MATCH($Q118,Sheet1!$A$5:$A$11,0),MATCH(Z$116,Sheet1!$E$4:$R$4,0))</f>
        <v>2.1769180400000002E-3</v>
      </c>
      <c r="AA118" s="1">
        <f>INDEX(Sheet1!$E$5:$R$11,MATCH($Q118,Sheet1!$A$5:$A$11,0),MATCH(AA$116,Sheet1!$E$4:$R$4,0))</f>
        <v>-1.6407251799999999E-7</v>
      </c>
      <c r="AB118" s="1">
        <f>INDEX(Sheet1!$E$5:$R$11,MATCH($Q118,Sheet1!$A$5:$A$11,0),MATCH(AB$116,Sheet1!$E$4:$R$4,0))</f>
        <v>-9.7041986999999998E-11</v>
      </c>
      <c r="AC118" s="1">
        <f>INDEX(Sheet1!$E$5:$R$11,MATCH($Q118,Sheet1!$A$5:$A$11,0),MATCH(AC$116,Sheet1!$E$4:$R$4,0))</f>
        <v>1.6820099199999999E-14</v>
      </c>
      <c r="AD118" s="1">
        <f t="shared" ref="AD118:AD120" si="41">$AB$35+273</f>
        <v>1373</v>
      </c>
      <c r="AE118" s="1">
        <v>1000</v>
      </c>
      <c r="AF118" s="1">
        <v>298</v>
      </c>
      <c r="AG118">
        <f>Sheet1!$S$2*(T118*(AE118-AF118)+U118/2*(AE118^2-AF118^2)+V118/3*(AE118^3-AF118^3)+W118/4*(AE118^4-AF118^4)+X118/5*(AE118^5-AF118^5))/1000+Sheet1!$S$2*(Y118*(AD118-AE118)+Z118/2*(AD118^2-AE118^2)+AA118/3*(AD118^3-AE118^3)+AB118/4*(AD118^4-AE118^4)+AC118/5*(AD118^5-AE118^5))/1000</f>
        <v>42.296034719479962</v>
      </c>
      <c r="AH118" t="s">
        <v>57</v>
      </c>
    </row>
    <row r="119" spans="6:36" x14ac:dyDescent="0.2">
      <c r="F119" t="s">
        <v>44</v>
      </c>
      <c r="G119" s="1">
        <v>-0.70302900000000002</v>
      </c>
      <c r="H119" s="1">
        <v>108.4773</v>
      </c>
      <c r="I119" s="1">
        <v>-42.521569999999997</v>
      </c>
      <c r="J119" s="1">
        <v>5.8627880000000001</v>
      </c>
      <c r="K119" s="1">
        <v>0.67856499999999997</v>
      </c>
      <c r="L119" s="1">
        <f t="shared" si="39"/>
        <v>793</v>
      </c>
      <c r="M119" s="1">
        <f t="shared" si="40"/>
        <v>1373</v>
      </c>
      <c r="N119">
        <f>(G119*(L119-M119)+H119/2000*(L119^2-M119^2)+I119/(3*10^6)*(L119^3-M119^3)+J119/(4*10^9)*(L119^4-M119^4)-(10^6*K119)*(1/M119-1/L119))/1000</f>
        <v>-42.380994362607822</v>
      </c>
      <c r="P119" s="15"/>
      <c r="Q119" t="s">
        <v>59</v>
      </c>
      <c r="R119">
        <v>1</v>
      </c>
      <c r="S119" s="1">
        <v>-110.5</v>
      </c>
      <c r="T119" s="1">
        <f>INDEX(Sheet1!$E$5:$R$11,MATCH($Q119,Sheet1!$A$5:$A$11,0),MATCH(T$116,Sheet1!$E$4:$R$4,0))</f>
        <v>3.5795334699999999</v>
      </c>
      <c r="U119" s="1">
        <f>INDEX(Sheet1!$E$5:$R$11,MATCH($Q119,Sheet1!$A$5:$A$11,0),MATCH(U$116,Sheet1!$E$4:$R$4,0))</f>
        <v>-6.1035368E-4</v>
      </c>
      <c r="V119" s="1">
        <f>INDEX(Sheet1!$E$5:$R$11,MATCH($Q119,Sheet1!$A$5:$A$11,0),MATCH(V$116,Sheet1!$E$4:$R$4,0))</f>
        <v>1.01681433E-6</v>
      </c>
      <c r="W119" s="1">
        <f>INDEX(Sheet1!$E$5:$R$11,MATCH($Q119,Sheet1!$A$5:$A$11,0),MATCH(W$116,Sheet1!$E$4:$R$4,0))</f>
        <v>9.0700588399999998E-10</v>
      </c>
      <c r="X119" s="1">
        <f>INDEX(Sheet1!$E$5:$R$11,MATCH($Q119,Sheet1!$A$5:$A$11,0),MATCH(X$116,Sheet1!$E$4:$R$4,0))</f>
        <v>-9.04424499E-13</v>
      </c>
      <c r="Y119" s="1">
        <f>INDEX(Sheet1!$E$5:$R$11,MATCH($Q119,Sheet1!$A$5:$A$11,0),MATCH(Y$116,Sheet1!$E$4:$R$4,0))</f>
        <v>2.7151856099999998</v>
      </c>
      <c r="Z119" s="1">
        <f>INDEX(Sheet1!$E$5:$R$11,MATCH($Q119,Sheet1!$A$5:$A$11,0),MATCH(Z$116,Sheet1!$E$4:$R$4,0))</f>
        <v>2.0625274300000002E-3</v>
      </c>
      <c r="AA119" s="1">
        <f>INDEX(Sheet1!$E$5:$R$11,MATCH($Q119,Sheet1!$A$5:$A$11,0),MATCH(AA$116,Sheet1!$E$4:$R$4,0))</f>
        <v>-9.9882577100000007E-7</v>
      </c>
      <c r="AB119" s="1">
        <f>INDEX(Sheet1!$E$5:$R$11,MATCH($Q119,Sheet1!$A$5:$A$11,0),MATCH(AB$116,Sheet1!$E$4:$R$4,0))</f>
        <v>2.30053008E-10</v>
      </c>
      <c r="AC119" s="1">
        <f>INDEX(Sheet1!$E$5:$R$11,MATCH($Q119,Sheet1!$A$5:$A$11,0),MATCH(AC$116,Sheet1!$E$4:$R$4,0))</f>
        <v>-2.03647716E-14</v>
      </c>
      <c r="AD119" s="1">
        <f t="shared" si="41"/>
        <v>1373</v>
      </c>
      <c r="AE119" s="1">
        <v>1000</v>
      </c>
      <c r="AF119" s="1">
        <v>298</v>
      </c>
      <c r="AG119">
        <f>Sheet1!$S$2*(T119*(AE119-AF119)+U119/2*(AE119^2-AF119^2)+V119/3*(AE119^3-AF119^3)+W119/4*(AE119^4-AF119^4)+X119/5*(AE119^5-AF119^5))/1000+Sheet1!$S$2*(Y119*(AD119-AE119)+Z119/2*(AD119^2-AE119^2)+AA119/3*(AD119^3-AE119^3)+AB119/4*(AD119^4-AE119^4)+AC119/5*(AD119^5-AE119^5))/1000</f>
        <v>34.395523837030296</v>
      </c>
      <c r="AH119" t="s">
        <v>57</v>
      </c>
    </row>
    <row r="120" spans="6:36" x14ac:dyDescent="0.2">
      <c r="F120" t="s">
        <v>148</v>
      </c>
      <c r="G120" s="1"/>
      <c r="H120" s="1"/>
      <c r="I120" s="1"/>
      <c r="J120" s="1"/>
      <c r="K120" s="1"/>
      <c r="L120" s="1">
        <f t="shared" si="39"/>
        <v>793</v>
      </c>
      <c r="M120" s="1">
        <f t="shared" si="40"/>
        <v>1373</v>
      </c>
      <c r="N120" s="2">
        <f>N119</f>
        <v>-42.380994362607822</v>
      </c>
      <c r="P120" s="15"/>
      <c r="Q120" t="s">
        <v>18</v>
      </c>
      <c r="R120">
        <v>3</v>
      </c>
      <c r="S120" s="1">
        <v>0</v>
      </c>
      <c r="T120" s="1">
        <f>INDEX(Sheet1!$E$5:$R$11,MATCH($Q120,Sheet1!$A$5:$A$11,0),MATCH(T$116,Sheet1!$E$4:$R$4,0))</f>
        <v>2.3443311200000001</v>
      </c>
      <c r="U120" s="1">
        <f>INDEX(Sheet1!$E$5:$R$11,MATCH($Q120,Sheet1!$A$5:$A$11,0),MATCH(U$116,Sheet1!$E$4:$R$4,0))</f>
        <v>7.9805207499999992E-3</v>
      </c>
      <c r="V120" s="1">
        <f>INDEX(Sheet1!$E$5:$R$11,MATCH($Q120,Sheet1!$A$5:$A$11,0),MATCH(V$116,Sheet1!$E$4:$R$4,0))</f>
        <v>-1.9478150999999999E-5</v>
      </c>
      <c r="W120" s="1">
        <f>INDEX(Sheet1!$E$5:$R$11,MATCH($Q120,Sheet1!$A$5:$A$11,0),MATCH(W$116,Sheet1!$E$4:$R$4,0))</f>
        <v>2.01572094E-8</v>
      </c>
      <c r="X120" s="1">
        <f>INDEX(Sheet1!$E$5:$R$11,MATCH($Q120,Sheet1!$A$5:$A$11,0),MATCH(X$116,Sheet1!$E$4:$R$4,0))</f>
        <v>-7.3761176100000006E-12</v>
      </c>
      <c r="Y120" s="1">
        <f>INDEX(Sheet1!$E$5:$R$11,MATCH($Q120,Sheet1!$A$5:$A$11,0),MATCH(Y$116,Sheet1!$E$4:$R$4,0))</f>
        <v>3.3372791999999998</v>
      </c>
      <c r="Z120" s="1">
        <f>INDEX(Sheet1!$E$5:$R$11,MATCH($Q120,Sheet1!$A$5:$A$11,0),MATCH(Z$116,Sheet1!$E$4:$R$4,0))</f>
        <v>-4.9402473099999998E-5</v>
      </c>
      <c r="AA120" s="1">
        <f>INDEX(Sheet1!$E$5:$R$11,MATCH($Q120,Sheet1!$A$5:$A$11,0),MATCH(AA$116,Sheet1!$E$4:$R$4,0))</f>
        <v>4.9945677799999996E-7</v>
      </c>
      <c r="AB120" s="1">
        <f>INDEX(Sheet1!$E$5:$R$11,MATCH($Q120,Sheet1!$A$5:$A$11,0),MATCH(AB$116,Sheet1!$E$4:$R$4,0))</f>
        <v>-1.7956639400000001E-10</v>
      </c>
      <c r="AC120" s="1">
        <f>INDEX(Sheet1!$E$5:$R$11,MATCH($Q120,Sheet1!$A$5:$A$11,0),MATCH(AC$116,Sheet1!$E$4:$R$4,0))</f>
        <v>2.00255376E-14</v>
      </c>
      <c r="AD120" s="1">
        <f t="shared" si="41"/>
        <v>1373</v>
      </c>
      <c r="AE120" s="1">
        <v>1000</v>
      </c>
      <c r="AF120" s="1">
        <v>298</v>
      </c>
      <c r="AG120">
        <f>Sheet1!$S$2*(T120*(AE120-AF120)+U120/2*(AE120^2-AF120^2)+V120/3*(AE120^3-AF120^3)+W120/4*(AE120^4-AF120^4)+X120/5*(AE120^5-AF120^5))/1000+Sheet1!$S$2*(Y120*(AD120-AE120)+Z120/2*(AD120^2-AE120^2)+AA120/3*(AD120^3-AE120^3)+AB120/4*(AD120^4-AE120^4)+AC120/5*(AD120^5-AE120^5))/1000</f>
        <v>32.231735393784653</v>
      </c>
      <c r="AH120" t="s">
        <v>57</v>
      </c>
    </row>
    <row r="121" spans="6:36" x14ac:dyDescent="0.2">
      <c r="F121" t="s">
        <v>54</v>
      </c>
      <c r="G121" s="1">
        <v>30.091999999999999</v>
      </c>
      <c r="H121" s="1">
        <v>6.8325139999999998</v>
      </c>
      <c r="I121" s="1">
        <v>6.7934349999999997</v>
      </c>
      <c r="J121" s="1">
        <v>-2.5344799999999998</v>
      </c>
      <c r="K121" s="1">
        <v>8.2139000000000004E-2</v>
      </c>
      <c r="L121" s="1">
        <f t="shared" si="39"/>
        <v>793</v>
      </c>
      <c r="M121" s="1">
        <f t="shared" si="40"/>
        <v>1373</v>
      </c>
      <c r="N121">
        <f>(G121*(L121-M121)+H121/2000*(L121^2-M121^2)+I121/(3*10^6)*(L121^3-M121^3)+J121/(4*10^9)*(L121^4-M121^4)-(10^6*K121)*(1/M121-1/L121))/1000</f>
        <v>-24.432107791175742</v>
      </c>
      <c r="P121" s="15"/>
      <c r="S121">
        <f>SUMPRODUCT(R117:R120,S117:S120)</f>
        <v>205.89999999999998</v>
      </c>
      <c r="AE121" s="1"/>
      <c r="AG121">
        <f>SUMPRODUCT(R117:R120,AG117:AG120)</f>
        <v>20.036187452909147</v>
      </c>
      <c r="AI121">
        <f>SUM(S121,AG121)</f>
        <v>225.93618745290911</v>
      </c>
      <c r="AJ121" t="s">
        <v>112</v>
      </c>
    </row>
    <row r="122" spans="6:36" x14ac:dyDescent="0.2">
      <c r="F122" t="s">
        <v>316</v>
      </c>
      <c r="P122" s="15" t="s">
        <v>66</v>
      </c>
      <c r="Q122" t="s">
        <v>59</v>
      </c>
      <c r="R122">
        <v>-1</v>
      </c>
      <c r="S122" s="1">
        <v>-110.5</v>
      </c>
      <c r="T122" s="1">
        <f>INDEX(Sheet1!$E$5:$R$11,MATCH($Q122,Sheet1!$A$5:$A$11,0),MATCH(T$116,Sheet1!$E$4:$R$4,0))</f>
        <v>3.5795334699999999</v>
      </c>
      <c r="U122" s="1">
        <f>INDEX(Sheet1!$E$5:$R$11,MATCH($Q122,Sheet1!$A$5:$A$11,0),MATCH(U$116,Sheet1!$E$4:$R$4,0))</f>
        <v>-6.1035368E-4</v>
      </c>
      <c r="V122" s="1">
        <f>INDEX(Sheet1!$E$5:$R$11,MATCH($Q122,Sheet1!$A$5:$A$11,0),MATCH(V$116,Sheet1!$E$4:$R$4,0))</f>
        <v>1.01681433E-6</v>
      </c>
      <c r="W122" s="1">
        <f>INDEX(Sheet1!$E$5:$R$11,MATCH($Q122,Sheet1!$A$5:$A$11,0),MATCH(W$116,Sheet1!$E$4:$R$4,0))</f>
        <v>9.0700588399999998E-10</v>
      </c>
      <c r="X122" s="1">
        <f>INDEX(Sheet1!$E$5:$R$11,MATCH($Q122,Sheet1!$A$5:$A$11,0),MATCH(X$116,Sheet1!$E$4:$R$4,0))</f>
        <v>-9.04424499E-13</v>
      </c>
      <c r="Y122" s="1">
        <f>INDEX(Sheet1!$E$5:$R$11,MATCH($Q122,Sheet1!$A$5:$A$11,0),MATCH(Y$116,Sheet1!$E$4:$R$4,0))</f>
        <v>2.7151856099999998</v>
      </c>
      <c r="Z122" s="1">
        <f>INDEX(Sheet1!$E$5:$R$11,MATCH($Q122,Sheet1!$A$5:$A$11,0),MATCH(Z$116,Sheet1!$E$4:$R$4,0))</f>
        <v>2.0625274300000002E-3</v>
      </c>
      <c r="AA122" s="1">
        <f>INDEX(Sheet1!$E$5:$R$11,MATCH($Q122,Sheet1!$A$5:$A$11,0),MATCH(AA$116,Sheet1!$E$4:$R$4,0))</f>
        <v>-9.9882577100000007E-7</v>
      </c>
      <c r="AB122" s="1">
        <f>INDEX(Sheet1!$E$5:$R$11,MATCH($Q122,Sheet1!$A$5:$A$11,0),MATCH(AB$116,Sheet1!$E$4:$R$4,0))</f>
        <v>2.30053008E-10</v>
      </c>
      <c r="AC122" s="1">
        <f>INDEX(Sheet1!$E$5:$R$11,MATCH($Q122,Sheet1!$A$5:$A$11,0),MATCH(AC$116,Sheet1!$E$4:$R$4,0))</f>
        <v>-2.03647716E-14</v>
      </c>
      <c r="AD122" s="1">
        <f>$AB$35+273</f>
        <v>1373</v>
      </c>
      <c r="AE122" s="1">
        <v>1000</v>
      </c>
      <c r="AF122" s="1">
        <v>298</v>
      </c>
      <c r="AG122">
        <f>Sheet1!$S$2*(T122*(AE122-AF122)+U122/2*(AE122^2-AF122^2)+V122/3*(AE122^3-AF122^3)+W122/4*(AE122^4-AF122^4)+X122/5*(AE122^5-AF122^5))/1000+Sheet1!$S$2*(Y122*(AD122-AE122)+Z122/2*(AD122^2-AE122^2)+AA122/3*(AD122^3-AE122^3)+AB122/4*(AD122^4-AE122^4)+AC122/5*(AD122^5-AE122^5))/1000</f>
        <v>34.395523837030296</v>
      </c>
      <c r="AH122" t="s">
        <v>57</v>
      </c>
    </row>
    <row r="123" spans="6:36" x14ac:dyDescent="0.2">
      <c r="F123" t="s">
        <v>18</v>
      </c>
      <c r="G123" s="1">
        <v>33.066178000000001</v>
      </c>
      <c r="H123" s="1">
        <v>-11.363417</v>
      </c>
      <c r="I123" s="1">
        <v>11.432816000000001</v>
      </c>
      <c r="J123" s="1">
        <v>-2.7728739999999998</v>
      </c>
      <c r="K123" s="1">
        <v>-0.158558</v>
      </c>
      <c r="L123" s="1">
        <f>$AH$23+273</f>
        <v>586.89263050949205</v>
      </c>
      <c r="M123" s="1">
        <f>$AD$24+273</f>
        <v>793</v>
      </c>
      <c r="N123">
        <f>(G123*(L123-M123)+H123/2000*(L123^2-M123^2)+I123/(3*10^6)*(L123^3-M123^3)+J123/(4*10^9)*(L123^4-M123^4)-(10^6*K123)*(1/M123-1/L123))/1000</f>
        <v>-6.2076423289603984</v>
      </c>
      <c r="P123" s="15"/>
      <c r="Q123" t="s">
        <v>54</v>
      </c>
      <c r="R123">
        <v>-1</v>
      </c>
      <c r="S123" s="1">
        <v>-241.8</v>
      </c>
      <c r="T123" s="1">
        <f>INDEX(Sheet1!$E$5:$R$11,MATCH($Q123,Sheet1!$A$5:$A$11,0),MATCH(T$116,Sheet1!$E$4:$R$4,0))</f>
        <v>4.1986405600000003</v>
      </c>
      <c r="U123" s="1">
        <f>INDEX(Sheet1!$E$5:$R$11,MATCH($Q123,Sheet1!$A$5:$A$11,0),MATCH(U$116,Sheet1!$E$4:$R$4,0))</f>
        <v>-2.0364341000000002E-3</v>
      </c>
      <c r="V123" s="1">
        <f>INDEX(Sheet1!$E$5:$R$11,MATCH($Q123,Sheet1!$A$5:$A$11,0),MATCH(V$116,Sheet1!$E$4:$R$4,0))</f>
        <v>6.5204021099999997E-6</v>
      </c>
      <c r="W123" s="1">
        <f>INDEX(Sheet1!$E$5:$R$11,MATCH($Q123,Sheet1!$A$5:$A$11,0),MATCH(W$116,Sheet1!$E$4:$R$4,0))</f>
        <v>-5.4879706200000003E-9</v>
      </c>
      <c r="X123" s="1">
        <f>INDEX(Sheet1!$E$5:$R$11,MATCH($Q123,Sheet1!$A$5:$A$11,0),MATCH(X$116,Sheet1!$E$4:$R$4,0))</f>
        <v>1.77197817E-12</v>
      </c>
      <c r="Y123" s="1">
        <f>INDEX(Sheet1!$E$5:$R$11,MATCH($Q123,Sheet1!$A$5:$A$11,0),MATCH(Y$116,Sheet1!$E$4:$R$4,0))</f>
        <v>3.0339924900000002</v>
      </c>
      <c r="Z123" s="1">
        <f>INDEX(Sheet1!$E$5:$R$11,MATCH($Q123,Sheet1!$A$5:$A$11,0),MATCH(Z$116,Sheet1!$E$4:$R$4,0))</f>
        <v>2.1769180400000002E-3</v>
      </c>
      <c r="AA123" s="1">
        <f>INDEX(Sheet1!$E$5:$R$11,MATCH($Q123,Sheet1!$A$5:$A$11,0),MATCH(AA$116,Sheet1!$E$4:$R$4,0))</f>
        <v>-1.6407251799999999E-7</v>
      </c>
      <c r="AB123" s="1">
        <f>INDEX(Sheet1!$E$5:$R$11,MATCH($Q123,Sheet1!$A$5:$A$11,0),MATCH(AB$116,Sheet1!$E$4:$R$4,0))</f>
        <v>-9.7041986999999998E-11</v>
      </c>
      <c r="AC123" s="1">
        <f>INDEX(Sheet1!$E$5:$R$11,MATCH($Q123,Sheet1!$A$5:$A$11,0),MATCH(AC$116,Sheet1!$E$4:$R$4,0))</f>
        <v>1.6820099199999999E-14</v>
      </c>
      <c r="AD123" s="1">
        <f t="shared" ref="AD123:AD125" si="42">$AB$35+273</f>
        <v>1373</v>
      </c>
      <c r="AE123" s="1">
        <v>1000</v>
      </c>
      <c r="AF123" s="1">
        <v>298</v>
      </c>
      <c r="AG123">
        <f>Sheet1!$S$2*(T123*(AE123-AF123)+U123/2*(AE123^2-AF123^2)+V123/3*(AE123^3-AF123^3)+W123/4*(AE123^4-AF123^4)+X123/5*(AE123^5-AF123^5))/1000+Sheet1!$S$2*(Y123*(AD123-AE123)+Z123/2*(AD123^2-AE123^2)+AA123/3*(AD123^3-AE123^3)+AB123/4*(AD123^4-AE123^4)+AC123/5*(AD123^5-AE123^5))/1000</f>
        <v>42.296034719479962</v>
      </c>
      <c r="AH123" t="s">
        <v>57</v>
      </c>
    </row>
    <row r="124" spans="6:36" x14ac:dyDescent="0.2">
      <c r="F124" t="s">
        <v>55</v>
      </c>
      <c r="G124" s="1">
        <v>19.50583</v>
      </c>
      <c r="H124" s="1">
        <v>19.887049999999999</v>
      </c>
      <c r="I124" s="1">
        <v>-8.598535</v>
      </c>
      <c r="J124" s="1">
        <v>1.3697839999999999</v>
      </c>
      <c r="K124" s="1">
        <v>0.52760099999999999</v>
      </c>
      <c r="L124" s="1">
        <f t="shared" ref="L124:L129" si="43">$AH$23+273</f>
        <v>586.89263050949205</v>
      </c>
      <c r="M124" s="1">
        <f t="shared" ref="M124:M129" si="44">$AD$24+273</f>
        <v>793</v>
      </c>
      <c r="N124">
        <f>(G124*(L124-M124)+H124/2000*(L124^2-M124^2)+I124/(3*10^6)*(L124^3-M124^3)+J124/(4*10^9)*(L124^4-M124^4)-(10^6*K124)*(1/M124-1/L124))/1000</f>
        <v>-5.8595385566568021</v>
      </c>
      <c r="P124" s="15"/>
      <c r="Q124" t="s">
        <v>56</v>
      </c>
      <c r="R124">
        <v>1</v>
      </c>
      <c r="S124" s="1">
        <v>-393.5</v>
      </c>
      <c r="T124" s="1">
        <f>INDEX(Sheet1!$E$5:$R$11,MATCH($Q124,Sheet1!$A$5:$A$11,0),MATCH(T$116,Sheet1!$E$4:$R$4,0))</f>
        <v>2.35677352</v>
      </c>
      <c r="U124" s="1">
        <f>INDEX(Sheet1!$E$5:$R$11,MATCH($Q124,Sheet1!$A$5:$A$11,0),MATCH(U$116,Sheet1!$E$4:$R$4,0))</f>
        <v>8.9845967700000005E-3</v>
      </c>
      <c r="V124" s="1">
        <f>INDEX(Sheet1!$E$5:$R$11,MATCH($Q124,Sheet1!$A$5:$A$11,0),MATCH(V$116,Sheet1!$E$4:$R$4,0))</f>
        <v>-7.1235626899999998E-6</v>
      </c>
      <c r="W124" s="1">
        <f>INDEX(Sheet1!$E$5:$R$11,MATCH($Q124,Sheet1!$A$5:$A$11,0),MATCH(W$116,Sheet1!$E$4:$R$4,0))</f>
        <v>2.4591902199999998E-9</v>
      </c>
      <c r="X124" s="1">
        <f>INDEX(Sheet1!$E$5:$R$11,MATCH($Q124,Sheet1!$A$5:$A$11,0),MATCH(X$116,Sheet1!$E$4:$R$4,0))</f>
        <v>-1.4369954799999999E-13</v>
      </c>
      <c r="Y124" s="1">
        <f>INDEX(Sheet1!$E$5:$R$11,MATCH($Q124,Sheet1!$A$5:$A$11,0),MATCH(Y$116,Sheet1!$E$4:$R$4,0))</f>
        <v>3.8574602900000001</v>
      </c>
      <c r="Z124" s="1">
        <f>INDEX(Sheet1!$E$5:$R$11,MATCH($Q124,Sheet1!$A$5:$A$11,0),MATCH(Z$116,Sheet1!$E$4:$R$4,0))</f>
        <v>4.4143702599999998E-3</v>
      </c>
      <c r="AA124" s="1">
        <f>INDEX(Sheet1!$E$5:$R$11,MATCH($Q124,Sheet1!$A$5:$A$11,0),MATCH(AA$116,Sheet1!$E$4:$R$4,0))</f>
        <v>-2.2148140400000001E-6</v>
      </c>
      <c r="AB124" s="1">
        <f>INDEX(Sheet1!$E$5:$R$11,MATCH($Q124,Sheet1!$A$5:$A$11,0),MATCH(AB$116,Sheet1!$E$4:$R$4,0))</f>
        <v>5.2349018800000005E-10</v>
      </c>
      <c r="AC124" s="1">
        <f>INDEX(Sheet1!$E$5:$R$11,MATCH($Q124,Sheet1!$A$5:$A$11,0),MATCH(AC$116,Sheet1!$E$4:$R$4,0))</f>
        <v>-4.7208416400000003E-14</v>
      </c>
      <c r="AD124" s="1">
        <f t="shared" si="42"/>
        <v>1373</v>
      </c>
      <c r="AE124" s="1">
        <v>1000</v>
      </c>
      <c r="AF124" s="1">
        <v>298</v>
      </c>
      <c r="AG124">
        <f>Sheet1!$S$2*(T124*(AE124-AF124)+U124/2*(AE124^2-AF124^2)+V124/3*(AE124^3-AF124^3)+W124/4*(AE124^4-AF124^4)+X124/5*(AE124^5-AF124^5))/1000+Sheet1!$S$2*(Y124*(AD124-AE124)+Z124/2*(AD124^2-AE124^2)+AA124/3*(AD124^3-AE124^3)+AB124/4*(AD124^4-AE124^4)+AC124/5*(AD124^5-AE124^5))/1000</f>
        <v>54.331081803187175</v>
      </c>
      <c r="AH124" t="s">
        <v>57</v>
      </c>
    </row>
    <row r="125" spans="6:36" x14ac:dyDescent="0.2">
      <c r="F125" t="s">
        <v>59</v>
      </c>
      <c r="G125" s="1">
        <v>25.567589999999999</v>
      </c>
      <c r="H125" s="1">
        <v>6.0961299999999996</v>
      </c>
      <c r="I125" s="1">
        <v>4.0546559999999996</v>
      </c>
      <c r="J125" s="1">
        <v>-2.6713010000000001</v>
      </c>
      <c r="K125" s="1">
        <v>0.131021</v>
      </c>
      <c r="L125" s="1">
        <f t="shared" si="43"/>
        <v>586.89263050949205</v>
      </c>
      <c r="M125" s="1">
        <f t="shared" si="44"/>
        <v>793</v>
      </c>
      <c r="N125">
        <f>(G125*(L125-M125)+H125/2000*(L125^2-M125^2)+I125/(3*10^6)*(L125^3-M125^3)+J125/(4*10^9)*(L125^4-M125^4)-(10^6*K125)*(1/M125-1/L125))/1000</f>
        <v>-6.2944433209515953</v>
      </c>
      <c r="P125" s="15"/>
      <c r="Q125" t="s">
        <v>18</v>
      </c>
      <c r="R125">
        <v>1</v>
      </c>
      <c r="S125" s="1">
        <v>0</v>
      </c>
      <c r="T125" s="1">
        <f>INDEX(Sheet1!$E$5:$R$11,MATCH($Q125,Sheet1!$A$5:$A$11,0),MATCH(T$116,Sheet1!$E$4:$R$4,0))</f>
        <v>2.3443311200000001</v>
      </c>
      <c r="U125" s="1">
        <f>INDEX(Sheet1!$E$5:$R$11,MATCH($Q125,Sheet1!$A$5:$A$11,0),MATCH(U$116,Sheet1!$E$4:$R$4,0))</f>
        <v>7.9805207499999992E-3</v>
      </c>
      <c r="V125" s="1">
        <f>INDEX(Sheet1!$E$5:$R$11,MATCH($Q125,Sheet1!$A$5:$A$11,0),MATCH(V$116,Sheet1!$E$4:$R$4,0))</f>
        <v>-1.9478150999999999E-5</v>
      </c>
      <c r="W125" s="1">
        <f>INDEX(Sheet1!$E$5:$R$11,MATCH($Q125,Sheet1!$A$5:$A$11,0),MATCH(W$116,Sheet1!$E$4:$R$4,0))</f>
        <v>2.01572094E-8</v>
      </c>
      <c r="X125" s="1">
        <f>INDEX(Sheet1!$E$5:$R$11,MATCH($Q125,Sheet1!$A$5:$A$11,0),MATCH(X$116,Sheet1!$E$4:$R$4,0))</f>
        <v>-7.3761176100000006E-12</v>
      </c>
      <c r="Y125" s="1">
        <f>INDEX(Sheet1!$E$5:$R$11,MATCH($Q125,Sheet1!$A$5:$A$11,0),MATCH(Y$116,Sheet1!$E$4:$R$4,0))</f>
        <v>3.3372791999999998</v>
      </c>
      <c r="Z125" s="1">
        <f>INDEX(Sheet1!$E$5:$R$11,MATCH($Q125,Sheet1!$A$5:$A$11,0),MATCH(Z$116,Sheet1!$E$4:$R$4,0))</f>
        <v>-4.9402473099999998E-5</v>
      </c>
      <c r="AA125" s="1">
        <f>INDEX(Sheet1!$E$5:$R$11,MATCH($Q125,Sheet1!$A$5:$A$11,0),MATCH(AA$116,Sheet1!$E$4:$R$4,0))</f>
        <v>4.9945677799999996E-7</v>
      </c>
      <c r="AB125" s="1">
        <f>INDEX(Sheet1!$E$5:$R$11,MATCH($Q125,Sheet1!$A$5:$A$11,0),MATCH(AB$116,Sheet1!$E$4:$R$4,0))</f>
        <v>-1.7956639400000001E-10</v>
      </c>
      <c r="AC125" s="1">
        <f>INDEX(Sheet1!$E$5:$R$11,MATCH($Q125,Sheet1!$A$5:$A$11,0),MATCH(AC$116,Sheet1!$E$4:$R$4,0))</f>
        <v>2.00255376E-14</v>
      </c>
      <c r="AD125" s="1">
        <f t="shared" si="42"/>
        <v>1373</v>
      </c>
      <c r="AE125" s="1">
        <v>1000</v>
      </c>
      <c r="AF125" s="1">
        <v>298</v>
      </c>
      <c r="AG125">
        <f>Sheet1!$S$2*(T125*(AE125-AF125)+U125/2*(AE125^2-AF125^2)+V125/3*(AE125^3-AF125^3)+W125/4*(AE125^4-AF125^4)+X125/5*(AE125^5-AF125^5))/1000+Sheet1!$S$2*(Y125*(AD125-AE125)+Z125/2*(AD125^2-AE125^2)+AA125/3*(AD125^3-AE125^3)+AB125/4*(AD125^4-AE125^4)+AC125/5*(AD125^5-AE125^5))/1000</f>
        <v>32.231735393784653</v>
      </c>
      <c r="AH125" t="s">
        <v>57</v>
      </c>
    </row>
    <row r="126" spans="6:36" x14ac:dyDescent="0.2">
      <c r="F126" t="s">
        <v>56</v>
      </c>
      <c r="G126" s="1">
        <v>24.997350000000001</v>
      </c>
      <c r="H126" s="1">
        <v>55.186959999999999</v>
      </c>
      <c r="I126" s="1">
        <v>-33.691369999999999</v>
      </c>
      <c r="J126" s="1">
        <v>7.9483870000000003</v>
      </c>
      <c r="K126" s="1">
        <v>-0.13663800000000001</v>
      </c>
      <c r="L126" s="1">
        <f t="shared" si="43"/>
        <v>586.89263050949205</v>
      </c>
      <c r="M126" s="1">
        <f t="shared" si="44"/>
        <v>793</v>
      </c>
      <c r="N126">
        <f>(G126*(L126-M126)+H126/2000*(L126^2-M126^2)+I126/(3*10^6)*(L126^3-M126^3)+J126/(4*10^9)*(L126^4-M126^4)-(10^6*K126)*(1/M126-1/L126))/1000</f>
        <v>-10.280324859683002</v>
      </c>
      <c r="P126" s="15"/>
      <c r="S126">
        <f>SUMPRODUCT(R122:R125,S122:S125)</f>
        <v>-41.199999999999989</v>
      </c>
      <c r="AE126" s="1"/>
      <c r="AG126">
        <f>SUMPRODUCT(R122:R125,AG122:AG125)</f>
        <v>9.8712586404615692</v>
      </c>
      <c r="AI126">
        <f>SUM(S126,AG126)</f>
        <v>-31.328741359538419</v>
      </c>
      <c r="AJ126" t="s">
        <v>112</v>
      </c>
    </row>
    <row r="127" spans="6:36" x14ac:dyDescent="0.2">
      <c r="F127" t="s">
        <v>44</v>
      </c>
      <c r="G127" s="1">
        <v>-0.70302900000000002</v>
      </c>
      <c r="H127" s="1">
        <v>108.4773</v>
      </c>
      <c r="I127" s="1">
        <v>-42.521569999999997</v>
      </c>
      <c r="J127" s="1">
        <v>5.8627880000000001</v>
      </c>
      <c r="K127" s="1">
        <v>0.67856499999999997</v>
      </c>
      <c r="L127" s="1">
        <f t="shared" si="43"/>
        <v>586.89263050949205</v>
      </c>
      <c r="M127" s="1">
        <f t="shared" si="44"/>
        <v>793</v>
      </c>
      <c r="N127">
        <f>(G127*(L127-M127)+H127/2000*(L127^2-M127^2)+I127/(3*10^6)*(L127^3-M127^3)+J127/(4*10^9)*(L127^4-M127^4)-(10^6*K127)*(1/M127-1/L127))/1000</f>
        <v>-11.183193806483354</v>
      </c>
      <c r="P127" s="15" t="s">
        <v>82</v>
      </c>
      <c r="Q127" t="s">
        <v>44</v>
      </c>
      <c r="R127">
        <v>-1</v>
      </c>
      <c r="AE127" s="1"/>
    </row>
    <row r="128" spans="6:36" x14ac:dyDescent="0.2">
      <c r="F128" t="s">
        <v>148</v>
      </c>
      <c r="G128" s="1"/>
      <c r="H128" s="1"/>
      <c r="I128" s="1"/>
      <c r="J128" s="1"/>
      <c r="K128" s="1"/>
      <c r="L128" s="1">
        <f t="shared" si="43"/>
        <v>586.89263050949205</v>
      </c>
      <c r="M128" s="1">
        <f t="shared" si="44"/>
        <v>793</v>
      </c>
      <c r="N128" s="2">
        <f>N127</f>
        <v>-11.183193806483354</v>
      </c>
      <c r="P128" s="15"/>
      <c r="Q128" t="s">
        <v>49</v>
      </c>
      <c r="R128">
        <v>1</v>
      </c>
      <c r="AE128" s="1"/>
    </row>
    <row r="129" spans="6:36" x14ac:dyDescent="0.2">
      <c r="F129" t="s">
        <v>54</v>
      </c>
      <c r="G129" s="1">
        <v>30.091999999999999</v>
      </c>
      <c r="H129" s="1">
        <v>6.8325139999999998</v>
      </c>
      <c r="I129" s="1">
        <v>6.7934349999999997</v>
      </c>
      <c r="J129" s="1">
        <v>-2.5344799999999998</v>
      </c>
      <c r="K129" s="1">
        <v>8.2139000000000004E-2</v>
      </c>
      <c r="L129" s="1">
        <f t="shared" si="43"/>
        <v>586.89263050949205</v>
      </c>
      <c r="M129" s="1">
        <f t="shared" si="44"/>
        <v>793</v>
      </c>
      <c r="N129">
        <f>(G129*(L129-M129)+H129/2000*(L129^2-M129^2)+I129/(3*10^6)*(L129^3-M129^3)+J129/(4*10^9)*(L129^4-M129^4)-(10^6*K129)*(1/M129-1/L129))/1000</f>
        <v>-7.633496193591319</v>
      </c>
      <c r="P129" s="15"/>
      <c r="Q129" t="s">
        <v>18</v>
      </c>
      <c r="R129">
        <v>2</v>
      </c>
      <c r="AE129" s="1"/>
    </row>
    <row r="130" spans="6:36" x14ac:dyDescent="0.2">
      <c r="F130" t="s">
        <v>181</v>
      </c>
      <c r="P130" s="15"/>
      <c r="AE130" s="1"/>
      <c r="AI130" t="s">
        <v>113</v>
      </c>
    </row>
    <row r="131" spans="6:36" x14ac:dyDescent="0.2">
      <c r="F131" t="s">
        <v>18</v>
      </c>
      <c r="G131" s="1">
        <v>33.066178000000001</v>
      </c>
      <c r="H131" s="1">
        <v>-11.363417</v>
      </c>
      <c r="I131" s="1">
        <v>11.432816000000001</v>
      </c>
      <c r="J131" s="1">
        <v>-2.7728739999999998</v>
      </c>
      <c r="K131" s="1">
        <v>-0.158558</v>
      </c>
      <c r="L131" s="1">
        <f t="shared" ref="L131:L137" si="45">$AU$35+273</f>
        <v>293</v>
      </c>
      <c r="M131" s="1">
        <f>$AI$23+273</f>
        <v>713</v>
      </c>
      <c r="N131">
        <f>(G131*(L131-M131)+H131/2000*(L131^2-M131^2)+I131/(3*10^6)*(L131^3-M131^3)+J131/(4*10^9)*(L131^4-M131^4)-(10^6*K131)*(1/M131-1/L131))/1000</f>
        <v>-12.917366163509556</v>
      </c>
      <c r="P131" s="15" t="s">
        <v>83</v>
      </c>
      <c r="Q131" t="s">
        <v>60</v>
      </c>
      <c r="R131">
        <v>-1</v>
      </c>
      <c r="S131" s="1">
        <v>-84</v>
      </c>
      <c r="T131" s="1">
        <f>INDEX(Sheet1!$E$5:$R$11,MATCH($Q131,Sheet1!$A$5:$A$11,0),MATCH(T$116,Sheet1!$E$4:$R$4,0))</f>
        <v>4.2914249199999999</v>
      </c>
      <c r="U131" s="1">
        <f>INDEX(Sheet1!$E$5:$R$11,MATCH($Q131,Sheet1!$A$5:$A$11,0),MATCH(U$116,Sheet1!$E$4:$R$4,0))</f>
        <v>-5.5015426999999997E-3</v>
      </c>
      <c r="V131" s="1">
        <f>INDEX(Sheet1!$E$5:$R$11,MATCH($Q131,Sheet1!$A$5:$A$11,0),MATCH(V$116,Sheet1!$E$4:$R$4,0))</f>
        <v>5.9943828800000003E-5</v>
      </c>
      <c r="W131" s="1">
        <f>INDEX(Sheet1!$E$5:$R$11,MATCH($Q131,Sheet1!$A$5:$A$11,0),MATCH(W$116,Sheet1!$E$4:$R$4,0))</f>
        <v>-7.0846628500000001E-8</v>
      </c>
      <c r="X131" s="1">
        <f>INDEX(Sheet1!$E$5:$R$11,MATCH($Q131,Sheet1!$A$5:$A$11,0),MATCH(X$116,Sheet1!$E$4:$R$4,0))</f>
        <v>2.6868577099999999E-11</v>
      </c>
      <c r="Y131" s="1">
        <f>INDEX(Sheet1!$E$5:$R$11,MATCH($Q131,Sheet1!$A$5:$A$11,0),MATCH(Y$116,Sheet1!$E$4:$R$4,0))</f>
        <v>1.0718814999999999</v>
      </c>
      <c r="Z131" s="1">
        <f>INDEX(Sheet1!$E$5:$R$11,MATCH($Q131,Sheet1!$A$5:$A$11,0),MATCH(Z$116,Sheet1!$E$4:$R$4,0))</f>
        <v>2.16852677E-2</v>
      </c>
      <c r="AA131" s="1">
        <f>INDEX(Sheet1!$E$5:$R$11,MATCH($Q131,Sheet1!$A$5:$A$11,0),MATCH(AA$116,Sheet1!$E$4:$R$4,0))</f>
        <v>-1.00256067E-5</v>
      </c>
      <c r="AB131" s="1">
        <f>INDEX(Sheet1!$E$5:$R$11,MATCH($Q131,Sheet1!$A$5:$A$11,0),MATCH(AB$116,Sheet1!$E$4:$R$4,0))</f>
        <v>2.21412001E-9</v>
      </c>
      <c r="AC131" s="1">
        <f>INDEX(Sheet1!$E$5:$R$11,MATCH($Q131,Sheet1!$A$5:$A$11,0),MATCH(AC$116,Sheet1!$E$4:$R$4,0))</f>
        <v>-1.9000289E-13</v>
      </c>
      <c r="AD131" s="1">
        <f>$AB$35+273</f>
        <v>1373</v>
      </c>
      <c r="AE131" s="1">
        <v>1000</v>
      </c>
      <c r="AF131" s="1">
        <v>298</v>
      </c>
      <c r="AG131">
        <f>Sheet1!$S$2*(T131*(AE131-AF131)+U131/2*(AE131^2-AF131^2)+V131/3*(AE131^3-AF131^3)+W131/4*(AE131^4-AF131^4)+X131/5*(AE131^5-AF131^5))/1000+Sheet1!$S$2*(Y131*(AD131-AE131)+Z131/2*(AD131^2-AE131^2)+AA131/3*(AD131^3-AE131^3)+AB131/4*(AD131^4-AE131^4)+AC131/5*(AD131^5-AE131^5))/1000</f>
        <v>113.92630922902025</v>
      </c>
      <c r="AH131" t="s">
        <v>57</v>
      </c>
    </row>
    <row r="132" spans="6:36" x14ac:dyDescent="0.2">
      <c r="F132" t="s">
        <v>55</v>
      </c>
      <c r="G132" s="1">
        <v>19.50583</v>
      </c>
      <c r="H132" s="1">
        <v>19.887049999999999</v>
      </c>
      <c r="I132" s="1">
        <v>-8.598535</v>
      </c>
      <c r="J132" s="1">
        <v>1.3697839999999999</v>
      </c>
      <c r="K132" s="1">
        <v>0.52760099999999999</v>
      </c>
      <c r="L132" s="1">
        <f t="shared" si="45"/>
        <v>293</v>
      </c>
      <c r="M132" s="1">
        <f t="shared" ref="M132:M137" si="46">$AI$23+273</f>
        <v>713</v>
      </c>
      <c r="N132">
        <f>(G132*(L132-M132)+H132/2000*(L132^2-M132^2)+I132/(3*10^6)*(L132^3-M132^3)+J132/(4*10^9)*(L132^4-M132^4)-(10^6*K132)*(1/M132-1/L132))/1000</f>
        <v>-10.452251512685796</v>
      </c>
      <c r="P132" s="15"/>
      <c r="Q132" t="s">
        <v>54</v>
      </c>
      <c r="R132">
        <v>-2</v>
      </c>
      <c r="S132" s="1">
        <v>-241.8</v>
      </c>
      <c r="T132" s="1">
        <f>INDEX(Sheet1!$E$5:$R$11,MATCH($Q132,Sheet1!$A$5:$A$11,0),MATCH(T$116,Sheet1!$E$4:$R$4,0))</f>
        <v>4.1986405600000003</v>
      </c>
      <c r="U132" s="1">
        <f>INDEX(Sheet1!$E$5:$R$11,MATCH($Q132,Sheet1!$A$5:$A$11,0),MATCH(U$116,Sheet1!$E$4:$R$4,0))</f>
        <v>-2.0364341000000002E-3</v>
      </c>
      <c r="V132" s="1">
        <f>INDEX(Sheet1!$E$5:$R$11,MATCH($Q132,Sheet1!$A$5:$A$11,0),MATCH(V$116,Sheet1!$E$4:$R$4,0))</f>
        <v>6.5204021099999997E-6</v>
      </c>
      <c r="W132" s="1">
        <f>INDEX(Sheet1!$E$5:$R$11,MATCH($Q132,Sheet1!$A$5:$A$11,0),MATCH(W$116,Sheet1!$E$4:$R$4,0))</f>
        <v>-5.4879706200000003E-9</v>
      </c>
      <c r="X132" s="1">
        <f>INDEX(Sheet1!$E$5:$R$11,MATCH($Q132,Sheet1!$A$5:$A$11,0),MATCH(X$116,Sheet1!$E$4:$R$4,0))</f>
        <v>1.77197817E-12</v>
      </c>
      <c r="Y132" s="1">
        <f>INDEX(Sheet1!$E$5:$R$11,MATCH($Q132,Sheet1!$A$5:$A$11,0),MATCH(Y$116,Sheet1!$E$4:$R$4,0))</f>
        <v>3.0339924900000002</v>
      </c>
      <c r="Z132" s="1">
        <f>INDEX(Sheet1!$E$5:$R$11,MATCH($Q132,Sheet1!$A$5:$A$11,0),MATCH(Z$116,Sheet1!$E$4:$R$4,0))</f>
        <v>2.1769180400000002E-3</v>
      </c>
      <c r="AA132" s="1">
        <f>INDEX(Sheet1!$E$5:$R$11,MATCH($Q132,Sheet1!$A$5:$A$11,0),MATCH(AA$116,Sheet1!$E$4:$R$4,0))</f>
        <v>-1.6407251799999999E-7</v>
      </c>
      <c r="AB132" s="1">
        <f>INDEX(Sheet1!$E$5:$R$11,MATCH($Q132,Sheet1!$A$5:$A$11,0),MATCH(AB$116,Sheet1!$E$4:$R$4,0))</f>
        <v>-9.7041986999999998E-11</v>
      </c>
      <c r="AC132" s="1">
        <f>INDEX(Sheet1!$E$5:$R$11,MATCH($Q132,Sheet1!$A$5:$A$11,0),MATCH(AC$116,Sheet1!$E$4:$R$4,0))</f>
        <v>1.6820099199999999E-14</v>
      </c>
      <c r="AD132" s="1">
        <f t="shared" ref="AD132:AD134" si="47">$AB$35+273</f>
        <v>1373</v>
      </c>
      <c r="AE132" s="1">
        <v>1000</v>
      </c>
      <c r="AF132" s="1">
        <v>298</v>
      </c>
      <c r="AG132">
        <f>Sheet1!$S$2*(T132*(AE132-AF132)+U132/2*(AE132^2-AF132^2)+V132/3*(AE132^3-AF132^3)+W132/4*(AE132^4-AF132^4)+X132/5*(AE132^5-AF132^5))/1000+Sheet1!$S$2*(Y132*(AD132-AE132)+Z132/2*(AD132^2-AE132^2)+AA132/3*(AD132^3-AE132^3)+AB132/4*(AD132^4-AE132^4)+AC132/5*(AD132^5-AE132^5))/1000</f>
        <v>42.296034719479962</v>
      </c>
      <c r="AH132" t="s">
        <v>57</v>
      </c>
    </row>
    <row r="133" spans="6:36" x14ac:dyDescent="0.2">
      <c r="F133" t="s">
        <v>59</v>
      </c>
      <c r="G133" s="1">
        <v>25.567589999999999</v>
      </c>
      <c r="H133" s="1">
        <v>6.0961299999999996</v>
      </c>
      <c r="I133" s="1">
        <v>4.0546559999999996</v>
      </c>
      <c r="J133" s="1">
        <v>-2.6713010000000001</v>
      </c>
      <c r="K133" s="1">
        <v>0.131021</v>
      </c>
      <c r="L133" s="1">
        <f t="shared" si="45"/>
        <v>293</v>
      </c>
      <c r="M133" s="1">
        <f t="shared" si="46"/>
        <v>713</v>
      </c>
      <c r="N133">
        <f>(G133*(L133-M133)+H133/2000*(L133^2-M133^2)+I133/(3*10^6)*(L133^3-M133^3)+J133/(4*10^9)*(L133^4-M133^4)-(10^6*K133)*(1/M133-1/L133))/1000</f>
        <v>-12.051072052355872</v>
      </c>
      <c r="P133" s="15"/>
      <c r="Q133" t="s">
        <v>59</v>
      </c>
      <c r="R133">
        <v>2</v>
      </c>
      <c r="S133" s="1">
        <v>-110.5</v>
      </c>
      <c r="T133" s="1">
        <f>INDEX(Sheet1!$E$5:$R$11,MATCH($Q133,Sheet1!$A$5:$A$11,0),MATCH(T$116,Sheet1!$E$4:$R$4,0))</f>
        <v>3.5795334699999999</v>
      </c>
      <c r="U133" s="1">
        <f>INDEX(Sheet1!$E$5:$R$11,MATCH($Q133,Sheet1!$A$5:$A$11,0),MATCH(U$116,Sheet1!$E$4:$R$4,0))</f>
        <v>-6.1035368E-4</v>
      </c>
      <c r="V133" s="1">
        <f>INDEX(Sheet1!$E$5:$R$11,MATCH($Q133,Sheet1!$A$5:$A$11,0),MATCH(V$116,Sheet1!$E$4:$R$4,0))</f>
        <v>1.01681433E-6</v>
      </c>
      <c r="W133" s="1">
        <f>INDEX(Sheet1!$E$5:$R$11,MATCH($Q133,Sheet1!$A$5:$A$11,0),MATCH(W$116,Sheet1!$E$4:$R$4,0))</f>
        <v>9.0700588399999998E-10</v>
      </c>
      <c r="X133" s="1">
        <f>INDEX(Sheet1!$E$5:$R$11,MATCH($Q133,Sheet1!$A$5:$A$11,0),MATCH(X$116,Sheet1!$E$4:$R$4,0))</f>
        <v>-9.04424499E-13</v>
      </c>
      <c r="Y133" s="1">
        <f>INDEX(Sheet1!$E$5:$R$11,MATCH($Q133,Sheet1!$A$5:$A$11,0),MATCH(Y$116,Sheet1!$E$4:$R$4,0))</f>
        <v>2.7151856099999998</v>
      </c>
      <c r="Z133" s="1">
        <f>INDEX(Sheet1!$E$5:$R$11,MATCH($Q133,Sheet1!$A$5:$A$11,0),MATCH(Z$116,Sheet1!$E$4:$R$4,0))</f>
        <v>2.0625274300000002E-3</v>
      </c>
      <c r="AA133" s="1">
        <f>INDEX(Sheet1!$E$5:$R$11,MATCH($Q133,Sheet1!$A$5:$A$11,0),MATCH(AA$116,Sheet1!$E$4:$R$4,0))</f>
        <v>-9.9882577100000007E-7</v>
      </c>
      <c r="AB133" s="1">
        <f>INDEX(Sheet1!$E$5:$R$11,MATCH($Q133,Sheet1!$A$5:$A$11,0),MATCH(AB$116,Sheet1!$E$4:$R$4,0))</f>
        <v>2.30053008E-10</v>
      </c>
      <c r="AC133" s="1">
        <f>INDEX(Sheet1!$E$5:$R$11,MATCH($Q133,Sheet1!$A$5:$A$11,0),MATCH(AC$116,Sheet1!$E$4:$R$4,0))</f>
        <v>-2.03647716E-14</v>
      </c>
      <c r="AD133" s="1">
        <f t="shared" si="47"/>
        <v>1373</v>
      </c>
      <c r="AE133" s="1">
        <v>1000</v>
      </c>
      <c r="AF133" s="1">
        <v>298</v>
      </c>
      <c r="AG133">
        <f>Sheet1!$S$2*(T133*(AE133-AF133)+U133/2*(AE133^2-AF133^2)+V133/3*(AE133^3-AF133^3)+W133/4*(AE133^4-AF133^4)+X133/5*(AE133^5-AF133^5))/1000+Sheet1!$S$2*(Y133*(AD133-AE133)+Z133/2*(AD133^2-AE133^2)+AA133/3*(AD133^3-AE133^3)+AB133/4*(AD133^4-AE133^4)+AC133/5*(AD133^5-AE133^5))/1000</f>
        <v>34.395523837030296</v>
      </c>
      <c r="AH133" t="s">
        <v>57</v>
      </c>
    </row>
    <row r="134" spans="6:36" x14ac:dyDescent="0.2">
      <c r="F134" t="s">
        <v>56</v>
      </c>
      <c r="G134" s="1">
        <v>24.997350000000001</v>
      </c>
      <c r="H134" s="1">
        <v>55.186959999999999</v>
      </c>
      <c r="I134" s="1">
        <v>-33.691369999999999</v>
      </c>
      <c r="J134" s="1">
        <v>7.9483870000000003</v>
      </c>
      <c r="K134" s="1">
        <v>-0.13663800000000001</v>
      </c>
      <c r="L134" s="1">
        <f t="shared" si="45"/>
        <v>293</v>
      </c>
      <c r="M134" s="1">
        <f t="shared" si="46"/>
        <v>713</v>
      </c>
      <c r="N134">
        <f>(G134*(L134-M134)+H134/2000*(L134^2-M134^2)+I134/(3*10^6)*(L134^3-M134^3)+J134/(4*10^9)*(L134^4-M134^4)-(10^6*K134)*(1/M134-1/L134))/1000</f>
        <v>-19.14310284268517</v>
      </c>
      <c r="P134" s="15"/>
      <c r="Q134" t="s">
        <v>18</v>
      </c>
      <c r="R134">
        <v>5</v>
      </c>
      <c r="S134" s="1">
        <v>0</v>
      </c>
      <c r="T134" s="1">
        <f>INDEX(Sheet1!$E$5:$R$11,MATCH($Q134,Sheet1!$A$5:$A$11,0),MATCH(T$116,Sheet1!$E$4:$R$4,0))</f>
        <v>2.3443311200000001</v>
      </c>
      <c r="U134" s="1">
        <f>INDEX(Sheet1!$E$5:$R$11,MATCH($Q134,Sheet1!$A$5:$A$11,0),MATCH(U$116,Sheet1!$E$4:$R$4,0))</f>
        <v>7.9805207499999992E-3</v>
      </c>
      <c r="V134" s="1">
        <f>INDEX(Sheet1!$E$5:$R$11,MATCH($Q134,Sheet1!$A$5:$A$11,0),MATCH(V$116,Sheet1!$E$4:$R$4,0))</f>
        <v>-1.9478150999999999E-5</v>
      </c>
      <c r="W134" s="1">
        <f>INDEX(Sheet1!$E$5:$R$11,MATCH($Q134,Sheet1!$A$5:$A$11,0),MATCH(W$116,Sheet1!$E$4:$R$4,0))</f>
        <v>2.01572094E-8</v>
      </c>
      <c r="X134" s="1">
        <f>INDEX(Sheet1!$E$5:$R$11,MATCH($Q134,Sheet1!$A$5:$A$11,0),MATCH(X$116,Sheet1!$E$4:$R$4,0))</f>
        <v>-7.3761176100000006E-12</v>
      </c>
      <c r="Y134" s="1">
        <f>INDEX(Sheet1!$E$5:$R$11,MATCH($Q134,Sheet1!$A$5:$A$11,0),MATCH(Y$116,Sheet1!$E$4:$R$4,0))</f>
        <v>3.3372791999999998</v>
      </c>
      <c r="Z134" s="1">
        <f>INDEX(Sheet1!$E$5:$R$11,MATCH($Q134,Sheet1!$A$5:$A$11,0),MATCH(Z$116,Sheet1!$E$4:$R$4,0))</f>
        <v>-4.9402473099999998E-5</v>
      </c>
      <c r="AA134" s="1">
        <f>INDEX(Sheet1!$E$5:$R$11,MATCH($Q134,Sheet1!$A$5:$A$11,0),MATCH(AA$116,Sheet1!$E$4:$R$4,0))</f>
        <v>4.9945677799999996E-7</v>
      </c>
      <c r="AB134" s="1">
        <f>INDEX(Sheet1!$E$5:$R$11,MATCH($Q134,Sheet1!$A$5:$A$11,0),MATCH(AB$116,Sheet1!$E$4:$R$4,0))</f>
        <v>-1.7956639400000001E-10</v>
      </c>
      <c r="AC134" s="1">
        <f>INDEX(Sheet1!$E$5:$R$11,MATCH($Q134,Sheet1!$A$5:$A$11,0),MATCH(AC$116,Sheet1!$E$4:$R$4,0))</f>
        <v>2.00255376E-14</v>
      </c>
      <c r="AD134" s="1">
        <f t="shared" si="47"/>
        <v>1373</v>
      </c>
      <c r="AE134" s="1">
        <v>1000</v>
      </c>
      <c r="AF134" s="1">
        <v>298</v>
      </c>
      <c r="AG134">
        <f>Sheet1!$S$2*(T134*(AE134-AF134)+U134/2*(AE134^2-AF134^2)+V134/3*(AE134^3-AF134^3)+W134/4*(AE134^4-AF134^4)+X134/5*(AE134^5-AF134^5))/1000+Sheet1!$S$2*(Y134*(AD134-AE134)+Z134/2*(AD134^2-AE134^2)+AA134/3*(AD134^3-AE134^3)+AB134/4*(AD134^4-AE134^4)+AC134/5*(AD134^5-AE134^5))/1000</f>
        <v>32.231735393784653</v>
      </c>
      <c r="AH134" t="s">
        <v>57</v>
      </c>
    </row>
    <row r="135" spans="6:36" x14ac:dyDescent="0.2">
      <c r="F135" t="s">
        <v>44</v>
      </c>
      <c r="G135" s="1">
        <v>-0.70302900000000002</v>
      </c>
      <c r="H135" s="1">
        <v>108.4773</v>
      </c>
      <c r="I135" s="1">
        <v>-42.521569999999997</v>
      </c>
      <c r="J135" s="1">
        <v>5.8627880000000001</v>
      </c>
      <c r="K135" s="1">
        <v>0.67856499999999997</v>
      </c>
      <c r="L135" s="1">
        <f t="shared" si="45"/>
        <v>293</v>
      </c>
      <c r="M135" s="1">
        <f t="shared" si="46"/>
        <v>713</v>
      </c>
      <c r="N135">
        <f>(G135*(L135-M135)+H135/2000*(L135^2-M135^2)+I135/(3*10^6)*(L135^3-M135^3)+J135/(4*10^9)*(L135^4-M135^4)-(10^6*K135)*(1/M135-1/L135))/1000</f>
        <v>-16.844384915198077</v>
      </c>
      <c r="P135" s="15"/>
      <c r="S135">
        <f>SUMPRODUCT(R131:R134,S131:S134)</f>
        <v>346.6</v>
      </c>
      <c r="AG135">
        <f>SUMPRODUCT(R131:R134,AG131:AG134)</f>
        <v>31.431345975003666</v>
      </c>
      <c r="AI135">
        <f>SUM(S135,AG135)</f>
        <v>378.03134597500366</v>
      </c>
      <c r="AJ135" t="s">
        <v>112</v>
      </c>
    </row>
    <row r="136" spans="6:36" x14ac:dyDescent="0.2">
      <c r="F136" t="s">
        <v>148</v>
      </c>
      <c r="G136" s="1"/>
      <c r="H136" s="1"/>
      <c r="I136" s="1"/>
      <c r="J136" s="1"/>
      <c r="K136" s="1"/>
      <c r="L136" s="1">
        <f t="shared" si="45"/>
        <v>293</v>
      </c>
      <c r="M136" s="1">
        <f t="shared" si="46"/>
        <v>713</v>
      </c>
      <c r="N136" s="2">
        <f>N135</f>
        <v>-16.844384915198077</v>
      </c>
      <c r="P136" s="15"/>
    </row>
    <row r="137" spans="6:36" x14ac:dyDescent="0.2">
      <c r="F137" t="s">
        <v>54</v>
      </c>
      <c r="G137" s="1">
        <v>30.091999999999999</v>
      </c>
      <c r="H137" s="1">
        <v>6.8325139999999998</v>
      </c>
      <c r="I137" s="1">
        <v>6.7934349999999997</v>
      </c>
      <c r="J137" s="1">
        <v>-2.5344799999999998</v>
      </c>
      <c r="K137" s="1">
        <v>8.2139000000000004E-2</v>
      </c>
      <c r="L137" s="1">
        <f t="shared" si="45"/>
        <v>293</v>
      </c>
      <c r="M137" s="1">
        <f t="shared" si="46"/>
        <v>713</v>
      </c>
      <c r="N137">
        <f>(G137*(L137-M137)+H137/2000*(L137^2-M137^2)+I137/(3*10^6)*(L137^3-M137^3)+J137/(4*10^9)*(L137^4-M137^4)-(10^6*K137)*(1/M137-1/L137))/1000</f>
        <v>-14.521697404151334</v>
      </c>
      <c r="P137" s="15" t="s">
        <v>66</v>
      </c>
      <c r="Q137" t="s">
        <v>59</v>
      </c>
      <c r="R137">
        <v>-1</v>
      </c>
      <c r="S137" s="1">
        <v>-110.5</v>
      </c>
      <c r="T137" s="1">
        <f>INDEX(Sheet1!$E$5:$R$11,MATCH($Q137,Sheet1!$A$5:$A$11,0),MATCH(T$116,Sheet1!$E$4:$R$4,0))</f>
        <v>3.5795334699999999</v>
      </c>
      <c r="U137" s="1">
        <f>INDEX(Sheet1!$E$5:$R$11,MATCH($Q137,Sheet1!$A$5:$A$11,0),MATCH(U$116,Sheet1!$E$4:$R$4,0))</f>
        <v>-6.1035368E-4</v>
      </c>
      <c r="V137" s="1">
        <f>INDEX(Sheet1!$E$5:$R$11,MATCH($Q137,Sheet1!$A$5:$A$11,0),MATCH(V$116,Sheet1!$E$4:$R$4,0))</f>
        <v>1.01681433E-6</v>
      </c>
      <c r="W137" s="1">
        <f>INDEX(Sheet1!$E$5:$R$11,MATCH($Q137,Sheet1!$A$5:$A$11,0),MATCH(W$116,Sheet1!$E$4:$R$4,0))</f>
        <v>9.0700588399999998E-10</v>
      </c>
      <c r="X137" s="1">
        <f>INDEX(Sheet1!$E$5:$R$11,MATCH($Q137,Sheet1!$A$5:$A$11,0),MATCH(X$116,Sheet1!$E$4:$R$4,0))</f>
        <v>-9.04424499E-13</v>
      </c>
      <c r="Y137" s="1">
        <f>INDEX(Sheet1!$E$5:$R$11,MATCH($Q137,Sheet1!$A$5:$A$11,0),MATCH(Y$116,Sheet1!$E$4:$R$4,0))</f>
        <v>2.7151856099999998</v>
      </c>
      <c r="Z137" s="1">
        <f>INDEX(Sheet1!$E$5:$R$11,MATCH($Q137,Sheet1!$A$5:$A$11,0),MATCH(Z$116,Sheet1!$E$4:$R$4,0))</f>
        <v>2.0625274300000002E-3</v>
      </c>
      <c r="AA137" s="1">
        <f>INDEX(Sheet1!$E$5:$R$11,MATCH($Q137,Sheet1!$A$5:$A$11,0),MATCH(AA$116,Sheet1!$E$4:$R$4,0))</f>
        <v>-9.9882577100000007E-7</v>
      </c>
      <c r="AB137" s="1">
        <f>INDEX(Sheet1!$E$5:$R$11,MATCH($Q137,Sheet1!$A$5:$A$11,0),MATCH(AB$116,Sheet1!$E$4:$R$4,0))</f>
        <v>2.30053008E-10</v>
      </c>
      <c r="AC137" s="1">
        <f>INDEX(Sheet1!$E$5:$R$11,MATCH($Q137,Sheet1!$A$5:$A$11,0),MATCH(AC$116,Sheet1!$E$4:$R$4,0))</f>
        <v>-2.03647716E-14</v>
      </c>
      <c r="AD137" s="1">
        <f>$AI$23+273</f>
        <v>713</v>
      </c>
      <c r="AE137" s="1">
        <f>$AI$23+273</f>
        <v>713</v>
      </c>
      <c r="AF137" s="1">
        <v>298</v>
      </c>
      <c r="AG137">
        <f>Sheet1!$S$2*(T137*(AE137-AF137)+U137/2*(AE137^2-AF137^2)+V137/3*(AE137^3-AF137^3)+W137/4*(AE137^4-AF137^4)+X137/5*(AE137^5-AF137^5))/1000+Sheet1!$S$2*(Y137*(AD137-AE137)+Z137/2*(AD137^2-AE137^2)+AA137/3*(AD137^3-AE137^3)+AB137/4*(AD137^4-AE137^4)+AC137/5*(AD137^5-AE137^5))/1000</f>
        <v>12.43156226527865</v>
      </c>
      <c r="AH137" t="s">
        <v>57</v>
      </c>
    </row>
    <row r="138" spans="6:36" x14ac:dyDescent="0.2">
      <c r="F138" t="s">
        <v>213</v>
      </c>
      <c r="P138" s="15"/>
      <c r="Q138" t="s">
        <v>54</v>
      </c>
      <c r="R138">
        <v>-1</v>
      </c>
      <c r="S138" s="1">
        <v>-241.8</v>
      </c>
      <c r="T138" s="1">
        <f>INDEX(Sheet1!$E$5:$R$11,MATCH($Q138,Sheet1!$A$5:$A$11,0),MATCH(T$116,Sheet1!$E$4:$R$4,0))</f>
        <v>4.1986405600000003</v>
      </c>
      <c r="U138" s="1">
        <f>INDEX(Sheet1!$E$5:$R$11,MATCH($Q138,Sheet1!$A$5:$A$11,0),MATCH(U$116,Sheet1!$E$4:$R$4,0))</f>
        <v>-2.0364341000000002E-3</v>
      </c>
      <c r="V138" s="1">
        <f>INDEX(Sheet1!$E$5:$R$11,MATCH($Q138,Sheet1!$A$5:$A$11,0),MATCH(V$116,Sheet1!$E$4:$R$4,0))</f>
        <v>6.5204021099999997E-6</v>
      </c>
      <c r="W138" s="1">
        <f>INDEX(Sheet1!$E$5:$R$11,MATCH($Q138,Sheet1!$A$5:$A$11,0),MATCH(W$116,Sheet1!$E$4:$R$4,0))</f>
        <v>-5.4879706200000003E-9</v>
      </c>
      <c r="X138" s="1">
        <f>INDEX(Sheet1!$E$5:$R$11,MATCH($Q138,Sheet1!$A$5:$A$11,0),MATCH(X$116,Sheet1!$E$4:$R$4,0))</f>
        <v>1.77197817E-12</v>
      </c>
      <c r="Y138" s="1">
        <f>INDEX(Sheet1!$E$5:$R$11,MATCH($Q138,Sheet1!$A$5:$A$11,0),MATCH(Y$116,Sheet1!$E$4:$R$4,0))</f>
        <v>3.0339924900000002</v>
      </c>
      <c r="Z138" s="1">
        <f>INDEX(Sheet1!$E$5:$R$11,MATCH($Q138,Sheet1!$A$5:$A$11,0),MATCH(Z$116,Sheet1!$E$4:$R$4,0))</f>
        <v>2.1769180400000002E-3</v>
      </c>
      <c r="AA138" s="1">
        <f>INDEX(Sheet1!$E$5:$R$11,MATCH($Q138,Sheet1!$A$5:$A$11,0),MATCH(AA$116,Sheet1!$E$4:$R$4,0))</f>
        <v>-1.6407251799999999E-7</v>
      </c>
      <c r="AB138" s="1">
        <f>INDEX(Sheet1!$E$5:$R$11,MATCH($Q138,Sheet1!$A$5:$A$11,0),MATCH(AB$116,Sheet1!$E$4:$R$4,0))</f>
        <v>-9.7041986999999998E-11</v>
      </c>
      <c r="AC138" s="1">
        <f>INDEX(Sheet1!$E$5:$R$11,MATCH($Q138,Sheet1!$A$5:$A$11,0),MATCH(AC$116,Sheet1!$E$4:$R$4,0))</f>
        <v>1.6820099199999999E-14</v>
      </c>
      <c r="AD138" s="1">
        <f t="shared" ref="AD138:AE140" si="48">$AI$23+273</f>
        <v>713</v>
      </c>
      <c r="AE138" s="1">
        <f t="shared" si="48"/>
        <v>713</v>
      </c>
      <c r="AF138" s="1">
        <v>298</v>
      </c>
      <c r="AG138">
        <f>Sheet1!$S$2*(T138*(AE138-AF138)+U138/2*(AE138^2-AF138^2)+V138/3*(AE138^3-AF138^3)+W138/4*(AE138^4-AF138^4)+X138/5*(AE138^5-AF138^5))/1000+Sheet1!$S$2*(Y138*(AD138-AE138)+Z138/2*(AD138^2-AE138^2)+AA138/3*(AD138^3-AE138^3)+AB138/4*(AD138^4-AE138^4)+AC138/5*(AD138^5-AE138^5))/1000</f>
        <v>14.684470333102016</v>
      </c>
      <c r="AH138" t="s">
        <v>57</v>
      </c>
    </row>
    <row r="139" spans="6:36" x14ac:dyDescent="0.2">
      <c r="F139" t="s">
        <v>18</v>
      </c>
      <c r="G139" s="1">
        <v>33.066178000000001</v>
      </c>
      <c r="H139" s="1">
        <v>-11.363417</v>
      </c>
      <c r="I139" s="1">
        <v>11.432816000000001</v>
      </c>
      <c r="J139" s="1">
        <v>-2.7728739999999998</v>
      </c>
      <c r="K139" s="1">
        <v>-0.158558</v>
      </c>
      <c r="L139" s="1">
        <f>$AI$23+273</f>
        <v>713</v>
      </c>
      <c r="M139" s="1">
        <f>$AH$23+273</f>
        <v>586.89263050949205</v>
      </c>
      <c r="N139">
        <f>(G139*(L139-M139)+H139/2000*(L139^2-M139^2)+I139/(3*10^6)*(L139^3-M139^3)+J139/(4*10^9)*(L139^4-M139^4)-(10^6*K139)*(1/M139-1/L139))/1000</f>
        <v>3.8003365836004184</v>
      </c>
      <c r="P139" s="15"/>
      <c r="Q139" t="s">
        <v>56</v>
      </c>
      <c r="R139">
        <v>1</v>
      </c>
      <c r="S139" s="1">
        <v>-393.5</v>
      </c>
      <c r="T139" s="1">
        <f>INDEX(Sheet1!$E$5:$R$11,MATCH($Q139,Sheet1!$A$5:$A$11,0),MATCH(T$116,Sheet1!$E$4:$R$4,0))</f>
        <v>2.35677352</v>
      </c>
      <c r="U139" s="1">
        <f>INDEX(Sheet1!$E$5:$R$11,MATCH($Q139,Sheet1!$A$5:$A$11,0),MATCH(U$116,Sheet1!$E$4:$R$4,0))</f>
        <v>8.9845967700000005E-3</v>
      </c>
      <c r="V139" s="1">
        <f>INDEX(Sheet1!$E$5:$R$11,MATCH($Q139,Sheet1!$A$5:$A$11,0),MATCH(V$116,Sheet1!$E$4:$R$4,0))</f>
        <v>-7.1235626899999998E-6</v>
      </c>
      <c r="W139" s="1">
        <f>INDEX(Sheet1!$E$5:$R$11,MATCH($Q139,Sheet1!$A$5:$A$11,0),MATCH(W$116,Sheet1!$E$4:$R$4,0))</f>
        <v>2.4591902199999998E-9</v>
      </c>
      <c r="X139" s="1">
        <f>INDEX(Sheet1!$E$5:$R$11,MATCH($Q139,Sheet1!$A$5:$A$11,0),MATCH(X$116,Sheet1!$E$4:$R$4,0))</f>
        <v>-1.4369954799999999E-13</v>
      </c>
      <c r="Y139" s="1">
        <f>INDEX(Sheet1!$E$5:$R$11,MATCH($Q139,Sheet1!$A$5:$A$11,0),MATCH(Y$116,Sheet1!$E$4:$R$4,0))</f>
        <v>3.8574602900000001</v>
      </c>
      <c r="Z139" s="1">
        <f>INDEX(Sheet1!$E$5:$R$11,MATCH($Q139,Sheet1!$A$5:$A$11,0),MATCH(Z$116,Sheet1!$E$4:$R$4,0))</f>
        <v>4.4143702599999998E-3</v>
      </c>
      <c r="AA139" s="1">
        <f>INDEX(Sheet1!$E$5:$R$11,MATCH($Q139,Sheet1!$A$5:$A$11,0),MATCH(AA$116,Sheet1!$E$4:$R$4,0))</f>
        <v>-2.2148140400000001E-6</v>
      </c>
      <c r="AB139" s="1">
        <f>INDEX(Sheet1!$E$5:$R$11,MATCH($Q139,Sheet1!$A$5:$A$11,0),MATCH(AB$116,Sheet1!$E$4:$R$4,0))</f>
        <v>5.2349018800000005E-10</v>
      </c>
      <c r="AC139" s="1">
        <f>INDEX(Sheet1!$E$5:$R$11,MATCH($Q139,Sheet1!$A$5:$A$11,0),MATCH(AC$116,Sheet1!$E$4:$R$4,0))</f>
        <v>-4.7208416400000003E-14</v>
      </c>
      <c r="AD139" s="1">
        <f t="shared" si="48"/>
        <v>713</v>
      </c>
      <c r="AE139" s="1">
        <f t="shared" si="48"/>
        <v>713</v>
      </c>
      <c r="AF139" s="1">
        <v>298</v>
      </c>
      <c r="AG139">
        <f>Sheet1!$S$2*(T139*(AE139-AF139)+U139/2*(AE139^2-AF139^2)+V139/3*(AE139^3-AF139^3)+W139/4*(AE139^4-AF139^4)+X139/5*(AE139^5-AF139^5))/1000+Sheet1!$S$2*(Y139*(AD139-AE139)+Z139/2*(AD139^2-AE139^2)+AA139/3*(AD139^3-AE139^3)+AB139/4*(AD139^4-AE139^4)+AC139/5*(AD139^5-AE139^5))/1000</f>
        <v>18.405831387216157</v>
      </c>
      <c r="AH139" t="s">
        <v>57</v>
      </c>
    </row>
    <row r="140" spans="6:36" x14ac:dyDescent="0.2">
      <c r="F140" t="s">
        <v>55</v>
      </c>
      <c r="G140" s="1">
        <v>19.50583</v>
      </c>
      <c r="H140" s="1">
        <v>19.887049999999999</v>
      </c>
      <c r="I140" s="1">
        <v>-8.598535</v>
      </c>
      <c r="J140" s="1">
        <v>1.3697839999999999</v>
      </c>
      <c r="K140" s="1">
        <v>0.52760099999999999</v>
      </c>
      <c r="L140" s="1">
        <f t="shared" ref="L140:L145" si="49">$AI$23+273</f>
        <v>713</v>
      </c>
      <c r="M140" s="1">
        <f t="shared" ref="M140:M145" si="50">$AH$23+273</f>
        <v>586.89263050949205</v>
      </c>
      <c r="N140">
        <f>(G140*(L140-M140)+H140/2000*(L140^2-M140^2)+I140/(3*10^6)*(L140^3-M140^3)+J140/(4*10^9)*(L140^4-M140^4)-(10^6*K140)*(1/M140-1/L140))/1000</f>
        <v>3.5192101815561934</v>
      </c>
      <c r="P140" s="15"/>
      <c r="Q140" t="s">
        <v>18</v>
      </c>
      <c r="R140">
        <v>1</v>
      </c>
      <c r="S140" s="1">
        <v>0</v>
      </c>
      <c r="T140" s="1">
        <f>INDEX(Sheet1!$E$5:$R$11,MATCH($Q140,Sheet1!$A$5:$A$11,0),MATCH(T$116,Sheet1!$E$4:$R$4,0))</f>
        <v>2.3443311200000001</v>
      </c>
      <c r="U140" s="1">
        <f>INDEX(Sheet1!$E$5:$R$11,MATCH($Q140,Sheet1!$A$5:$A$11,0),MATCH(U$116,Sheet1!$E$4:$R$4,0))</f>
        <v>7.9805207499999992E-3</v>
      </c>
      <c r="V140" s="1">
        <f>INDEX(Sheet1!$E$5:$R$11,MATCH($Q140,Sheet1!$A$5:$A$11,0),MATCH(V$116,Sheet1!$E$4:$R$4,0))</f>
        <v>-1.9478150999999999E-5</v>
      </c>
      <c r="W140" s="1">
        <f>INDEX(Sheet1!$E$5:$R$11,MATCH($Q140,Sheet1!$A$5:$A$11,0),MATCH(W$116,Sheet1!$E$4:$R$4,0))</f>
        <v>2.01572094E-8</v>
      </c>
      <c r="X140" s="1">
        <f>INDEX(Sheet1!$E$5:$R$11,MATCH($Q140,Sheet1!$A$5:$A$11,0),MATCH(X$116,Sheet1!$E$4:$R$4,0))</f>
        <v>-7.3761176100000006E-12</v>
      </c>
      <c r="Y140" s="1">
        <f>INDEX(Sheet1!$E$5:$R$11,MATCH($Q140,Sheet1!$A$5:$A$11,0),MATCH(Y$116,Sheet1!$E$4:$R$4,0))</f>
        <v>3.3372791999999998</v>
      </c>
      <c r="Z140" s="1">
        <f>INDEX(Sheet1!$E$5:$R$11,MATCH($Q140,Sheet1!$A$5:$A$11,0),MATCH(Z$116,Sheet1!$E$4:$R$4,0))</f>
        <v>-4.9402473099999998E-5</v>
      </c>
      <c r="AA140" s="1">
        <f>INDEX(Sheet1!$E$5:$R$11,MATCH($Q140,Sheet1!$A$5:$A$11,0),MATCH(AA$116,Sheet1!$E$4:$R$4,0))</f>
        <v>4.9945677799999996E-7</v>
      </c>
      <c r="AB140" s="1">
        <f>INDEX(Sheet1!$E$5:$R$11,MATCH($Q140,Sheet1!$A$5:$A$11,0),MATCH(AB$116,Sheet1!$E$4:$R$4,0))</f>
        <v>-1.7956639400000001E-10</v>
      </c>
      <c r="AC140" s="1">
        <f>INDEX(Sheet1!$E$5:$R$11,MATCH($Q140,Sheet1!$A$5:$A$11,0),MATCH(AC$116,Sheet1!$E$4:$R$4,0))</f>
        <v>2.00255376E-14</v>
      </c>
      <c r="AD140" s="1">
        <f t="shared" si="48"/>
        <v>713</v>
      </c>
      <c r="AE140" s="1">
        <f t="shared" si="48"/>
        <v>713</v>
      </c>
      <c r="AF140" s="1">
        <v>298</v>
      </c>
      <c r="AG140">
        <f>Sheet1!$S$2*(T140*(AE140-AF140)+U140/2*(AE140^2-AF140^2)+V140/3*(AE140^3-AF140^3)+W140/4*(AE140^4-AF140^4)+X140/5*(AE140^5-AF140^5))/1000+Sheet1!$S$2*(Y140*(AD140-AE140)+Z140/2*(AD140^2-AE140^2)+AA140/3*(AD140^3-AE140^3)+AB140/4*(AD140^4-AE140^4)+AC140/5*(AD140^5-AE140^5))/1000</f>
        <v>12.136269410525488</v>
      </c>
      <c r="AH140" t="s">
        <v>57</v>
      </c>
    </row>
    <row r="141" spans="6:36" x14ac:dyDescent="0.2">
      <c r="F141" t="s">
        <v>59</v>
      </c>
      <c r="G141" s="1">
        <v>25.567589999999999</v>
      </c>
      <c r="H141" s="1">
        <v>6.0961299999999996</v>
      </c>
      <c r="I141" s="1">
        <v>4.0546559999999996</v>
      </c>
      <c r="J141" s="1">
        <v>-2.6713010000000001</v>
      </c>
      <c r="K141" s="1">
        <v>0.131021</v>
      </c>
      <c r="L141" s="1">
        <f t="shared" si="49"/>
        <v>713</v>
      </c>
      <c r="M141" s="1">
        <f t="shared" si="50"/>
        <v>586.89263050949205</v>
      </c>
      <c r="N141">
        <f>(G141*(L141-M141)+H141/2000*(L141^2-M141^2)+I141/(3*10^6)*(L141^3-M141^3)+J141/(4*10^9)*(L141^4-M141^4)-(10^6*K141)*(1/M141-1/L141))/1000</f>
        <v>3.8077484515020008</v>
      </c>
      <c r="P141" s="15"/>
      <c r="S141">
        <f>SUMPRODUCT(R137:R140,S137:S140)</f>
        <v>-41.199999999999989</v>
      </c>
      <c r="AG141">
        <f>SUMPRODUCT(R137:R140,AG137:AG140)</f>
        <v>3.4260681993609783</v>
      </c>
      <c r="AI141">
        <f>SUM(S141,AG141)</f>
        <v>-37.773931800639012</v>
      </c>
      <c r="AJ141" t="s">
        <v>112</v>
      </c>
    </row>
    <row r="142" spans="6:36" x14ac:dyDescent="0.2">
      <c r="F142" t="s">
        <v>56</v>
      </c>
      <c r="G142" s="1">
        <v>24.997350000000001</v>
      </c>
      <c r="H142" s="1">
        <v>55.186959999999999</v>
      </c>
      <c r="I142" s="1">
        <v>-33.691369999999999</v>
      </c>
      <c r="J142" s="1">
        <v>7.9483870000000003</v>
      </c>
      <c r="K142" s="1">
        <v>-0.13663800000000001</v>
      </c>
      <c r="L142" s="1">
        <f t="shared" si="49"/>
        <v>713</v>
      </c>
      <c r="M142" s="1">
        <f t="shared" si="50"/>
        <v>586.89263050949205</v>
      </c>
      <c r="N142">
        <f>(G142*(L142-M142)+H142/2000*(L142^2-M142^2)+I142/(3*10^6)*(L142^3-M142^3)+J142/(4*10^9)*(L142^4-M142^4)-(10^6*K142)*(1/M142-1/L142))/1000</f>
        <v>6.1941875614216677</v>
      </c>
    </row>
    <row r="143" spans="6:36" x14ac:dyDescent="0.2">
      <c r="F143" t="s">
        <v>44</v>
      </c>
      <c r="G143" s="1">
        <v>-0.70302900000000002</v>
      </c>
      <c r="H143" s="1">
        <v>108.4773</v>
      </c>
      <c r="I143" s="1">
        <v>-42.521569999999997</v>
      </c>
      <c r="J143" s="1">
        <v>5.8627880000000001</v>
      </c>
      <c r="K143" s="1">
        <v>0.67856499999999997</v>
      </c>
      <c r="L143" s="1">
        <f t="shared" si="49"/>
        <v>713</v>
      </c>
      <c r="M143" s="1">
        <f t="shared" si="50"/>
        <v>586.89263050949205</v>
      </c>
      <c r="N143">
        <f>(G143*(L143-M143)+H143/2000*(L143^2-M143^2)+I143/(3*10^6)*(L143^3-M143^3)+J143/(4*10^9)*(L143^4-M143^4)-(10^6*K143)*(1/M143-1/L143))/1000</f>
        <v>6.5305792439831336</v>
      </c>
    </row>
    <row r="144" spans="6:36" x14ac:dyDescent="0.2">
      <c r="F144" t="s">
        <v>148</v>
      </c>
      <c r="G144" s="1"/>
      <c r="H144" s="1"/>
      <c r="I144" s="1"/>
      <c r="J144" s="1"/>
      <c r="K144" s="1"/>
      <c r="L144" s="1">
        <f t="shared" si="49"/>
        <v>713</v>
      </c>
      <c r="M144" s="1">
        <f t="shared" si="50"/>
        <v>586.89263050949205</v>
      </c>
      <c r="N144" s="2">
        <f>N143</f>
        <v>6.5305792439831336</v>
      </c>
    </row>
    <row r="145" spans="6:14" x14ac:dyDescent="0.2">
      <c r="F145" t="s">
        <v>54</v>
      </c>
      <c r="G145" s="1">
        <v>30.091999999999999</v>
      </c>
      <c r="H145" s="1">
        <v>6.8325139999999998</v>
      </c>
      <c r="I145" s="1">
        <v>6.7934349999999997</v>
      </c>
      <c r="J145" s="1">
        <v>-2.5344799999999998</v>
      </c>
      <c r="K145" s="1">
        <v>8.2139000000000004E-2</v>
      </c>
      <c r="L145" s="1">
        <f t="shared" si="49"/>
        <v>713</v>
      </c>
      <c r="M145" s="1">
        <f t="shared" si="50"/>
        <v>586.89263050949205</v>
      </c>
      <c r="N145">
        <f>(G145*(L145-M145)+H145/2000*(L145^2-M145^2)+I145/(3*10^6)*(L145^3-M145^3)+J145/(4*10^9)*(L145^4-M145^4)-(10^6*K145)*(1/M145-1/L145))/1000</f>
        <v>4.6045360410561669</v>
      </c>
    </row>
    <row r="146" spans="6:14" x14ac:dyDescent="0.2">
      <c r="F146" t="s">
        <v>158</v>
      </c>
      <c r="G146" s="1"/>
      <c r="H146" s="1"/>
      <c r="I146" s="1"/>
      <c r="J146" s="1"/>
      <c r="K146" s="1"/>
      <c r="L146" s="1"/>
      <c r="M146" s="1"/>
    </row>
    <row r="147" spans="6:14" x14ac:dyDescent="0.2">
      <c r="F147" t="s">
        <v>160</v>
      </c>
      <c r="G147" s="1">
        <v>19.50583</v>
      </c>
      <c r="H147" s="1">
        <v>19.887049999999999</v>
      </c>
      <c r="I147" s="1">
        <v>-8.598535</v>
      </c>
      <c r="J147" s="1">
        <v>1.3697839999999999</v>
      </c>
      <c r="K147" s="1">
        <v>0.52760099999999999</v>
      </c>
      <c r="L147" s="1">
        <f>500+273</f>
        <v>773</v>
      </c>
      <c r="M147" s="1">
        <f>20+273</f>
        <v>293</v>
      </c>
      <c r="N147">
        <f>(G147*(L147-M147)+H147/2000*(L147^2-M147^2)+I147/(3*10^6)*(L147^3-M147^3)+J147/(4*10^9)*(L147^4-M147^4)-(10^6*K147)*(1/M147-1/L147))/1000</f>
        <v>12.200531800964121</v>
      </c>
    </row>
    <row r="148" spans="6:14" x14ac:dyDescent="0.2">
      <c r="F148" t="s">
        <v>159</v>
      </c>
      <c r="G148" s="1">
        <v>30.032350000000001</v>
      </c>
      <c r="H148" s="1">
        <v>8.7729719999999993</v>
      </c>
      <c r="I148" s="1">
        <v>-3.9881329999999999</v>
      </c>
      <c r="J148" s="1">
        <v>0.78831300000000004</v>
      </c>
      <c r="K148" s="1">
        <v>-0.74159900000000001</v>
      </c>
      <c r="L148" s="1">
        <f>500+273</f>
        <v>773</v>
      </c>
      <c r="M148" s="1">
        <f>20+273</f>
        <v>293</v>
      </c>
      <c r="N148">
        <f>(G148*(L148-M148)+H148/2000*(L148^2-M148^2)+I148/(3*10^6)*(L148^3-M148^3)+J148/(4*10^9)*(L148^4-M148^4)-(10^6*K148)*(1/M148-1/L148))/1000</f>
        <v>17.720007237816304</v>
      </c>
    </row>
    <row r="149" spans="6:14" x14ac:dyDescent="0.2">
      <c r="F149" t="s">
        <v>26</v>
      </c>
      <c r="G149" s="1"/>
      <c r="H149" s="1"/>
      <c r="I149" s="1"/>
      <c r="J149" s="1"/>
      <c r="K149" s="1"/>
      <c r="L149" s="1"/>
      <c r="M149" s="1"/>
    </row>
    <row r="150" spans="6:14" x14ac:dyDescent="0.2">
      <c r="F150" t="s">
        <v>153</v>
      </c>
      <c r="G150" s="1">
        <v>19.50583</v>
      </c>
      <c r="H150" s="1">
        <v>19.887049999999999</v>
      </c>
      <c r="I150" s="1">
        <v>-8.598535</v>
      </c>
      <c r="J150" s="1">
        <v>1.3697839999999999</v>
      </c>
      <c r="K150" s="1">
        <v>0.52760099999999999</v>
      </c>
      <c r="L150" s="1">
        <f>$AB$35+273</f>
        <v>1373</v>
      </c>
      <c r="M150" s="1">
        <f>$AX$50+273</f>
        <v>293</v>
      </c>
      <c r="N150">
        <f>(G150*(L150-M150)+H150/2000*(L150^2-M150^2)+I150/(3*10^6)*(L150^3-M150^3)+J150/(4*10^9)*(L150^4-M150^4)-(10^6*K150)*(1/M150-1/L150))/1000</f>
        <v>31.409112230137154</v>
      </c>
    </row>
    <row r="151" spans="6:14" x14ac:dyDescent="0.2">
      <c r="F151" t="s">
        <v>151</v>
      </c>
      <c r="G151" s="1">
        <v>24.997350000000001</v>
      </c>
      <c r="H151" s="1">
        <v>55.186959999999999</v>
      </c>
      <c r="I151" s="1">
        <v>-33.691369999999999</v>
      </c>
      <c r="J151" s="1">
        <v>7.9483870000000003</v>
      </c>
      <c r="K151" s="1">
        <v>-0.13663800000000001</v>
      </c>
      <c r="L151" s="1">
        <f>$AB$35+273</f>
        <v>1373</v>
      </c>
      <c r="M151" s="1">
        <f>$AX$50+273</f>
        <v>293</v>
      </c>
      <c r="N151">
        <f>(G151*(L151-M151)+H151/2000*(L151^2-M151^2)+I151/(3*10^6)*(L151^3-M151^3)+J151/(4*10^9)*(L151^4-M151^4)-(10^6*K151)*(1/M151-1/L151))/1000</f>
        <v>55.274179432461459</v>
      </c>
    </row>
    <row r="152" spans="6:14" x14ac:dyDescent="0.2">
      <c r="F152" t="s">
        <v>152</v>
      </c>
      <c r="G152" s="1">
        <v>30.091999999999999</v>
      </c>
      <c r="H152" s="1">
        <v>6.8325139999999998</v>
      </c>
      <c r="I152" s="1">
        <v>6.7934349999999997</v>
      </c>
      <c r="J152" s="1">
        <v>-2.5344799999999998</v>
      </c>
      <c r="K152" s="1">
        <v>8.2139000000000004E-2</v>
      </c>
      <c r="L152" s="1">
        <f>$AB$35+273</f>
        <v>1373</v>
      </c>
      <c r="M152" s="1">
        <f>100+273</f>
        <v>373</v>
      </c>
      <c r="N152">
        <f>(G152*(L152-M152)+H152/2000*(L152^2-M152^2)+I152/(3*10^6)*(L152^3-M152^3)+J152/(4*10^9)*(L152^4-M152^4)-(10^6*K152)*(1/M152-1/L152))/1000</f>
        <v>39.400553126146733</v>
      </c>
    </row>
    <row r="154" spans="6:14" x14ac:dyDescent="0.2">
      <c r="G154" s="1"/>
      <c r="H154" s="1"/>
      <c r="I154" s="1"/>
      <c r="J154" s="1"/>
      <c r="K154" s="1"/>
      <c r="L154" s="1"/>
      <c r="M154" s="1"/>
    </row>
    <row r="156" spans="6:14" x14ac:dyDescent="0.2">
      <c r="F156" s="14" t="s">
        <v>147</v>
      </c>
    </row>
    <row r="157" spans="6:14" x14ac:dyDescent="0.2">
      <c r="F157" s="2" t="s">
        <v>118</v>
      </c>
      <c r="K157" s="2"/>
      <c r="L157" s="2"/>
      <c r="M157" s="2"/>
    </row>
    <row r="158" spans="6:14" x14ac:dyDescent="0.2">
      <c r="F158" s="21" t="s">
        <v>150</v>
      </c>
      <c r="I158" t="s">
        <v>18</v>
      </c>
      <c r="J158" t="s">
        <v>55</v>
      </c>
      <c r="K158" t="s">
        <v>56</v>
      </c>
      <c r="L158" t="s">
        <v>44</v>
      </c>
      <c r="M158" t="s">
        <v>54</v>
      </c>
    </row>
    <row r="159" spans="6:14" x14ac:dyDescent="0.2">
      <c r="H159" t="s">
        <v>47</v>
      </c>
      <c r="I159" s="1">
        <v>33.066178000000001</v>
      </c>
      <c r="J159" s="1">
        <v>19.50583</v>
      </c>
      <c r="K159" s="1">
        <v>24.997350000000001</v>
      </c>
      <c r="L159" s="1">
        <v>-0.70302900000000002</v>
      </c>
      <c r="M159" s="1">
        <v>30.091999999999999</v>
      </c>
    </row>
    <row r="160" spans="6:14" x14ac:dyDescent="0.2">
      <c r="H160" t="s">
        <v>48</v>
      </c>
      <c r="I160" s="1">
        <v>-11.363417</v>
      </c>
      <c r="J160" s="1">
        <v>19.887049999999999</v>
      </c>
      <c r="K160" s="1">
        <v>55.186959999999999</v>
      </c>
      <c r="L160" s="1">
        <v>108.4773</v>
      </c>
      <c r="M160" s="1">
        <v>6.8325139999999998</v>
      </c>
    </row>
    <row r="161" spans="6:13" x14ac:dyDescent="0.2">
      <c r="H161" t="s">
        <v>49</v>
      </c>
      <c r="I161" s="1">
        <v>11.432816000000001</v>
      </c>
      <c r="J161" s="1">
        <v>-8.598535</v>
      </c>
      <c r="K161" s="1">
        <v>-33.691369999999999</v>
      </c>
      <c r="L161" s="1">
        <v>-42.521569999999997</v>
      </c>
      <c r="M161" s="1">
        <v>6.7934349999999997</v>
      </c>
    </row>
    <row r="162" spans="6:13" x14ac:dyDescent="0.2">
      <c r="H162" t="s">
        <v>33</v>
      </c>
      <c r="I162" s="1">
        <v>-2.7728739999999998</v>
      </c>
      <c r="J162" s="1">
        <v>1.3697839999999999</v>
      </c>
      <c r="K162" s="1">
        <v>7.9483870000000003</v>
      </c>
      <c r="L162" s="1">
        <v>5.8627880000000001</v>
      </c>
      <c r="M162" s="1">
        <v>-2.5344799999999998</v>
      </c>
    </row>
    <row r="163" spans="6:13" x14ac:dyDescent="0.2">
      <c r="H163" t="s">
        <v>50</v>
      </c>
      <c r="I163" s="1">
        <v>-0.158558</v>
      </c>
      <c r="J163" s="1">
        <v>0.52760099999999999</v>
      </c>
      <c r="K163" s="1">
        <v>-0.13663800000000001</v>
      </c>
      <c r="L163" s="1">
        <v>0.67856499999999997</v>
      </c>
      <c r="M163" s="1">
        <v>8.2139000000000004E-2</v>
      </c>
    </row>
    <row r="164" spans="6:13" x14ac:dyDescent="0.2">
      <c r="H164" t="s">
        <v>142</v>
      </c>
      <c r="I164" s="1">
        <v>298</v>
      </c>
      <c r="J164" s="1">
        <v>500</v>
      </c>
      <c r="K164" s="1">
        <v>298</v>
      </c>
      <c r="L164" s="1">
        <v>298</v>
      </c>
      <c r="M164" s="1">
        <v>500</v>
      </c>
    </row>
    <row r="165" spans="6:13" x14ac:dyDescent="0.2">
      <c r="H165" t="s">
        <v>141</v>
      </c>
      <c r="I165" s="20">
        <v>1000</v>
      </c>
      <c r="J165" s="1">
        <v>2000</v>
      </c>
      <c r="K165" s="1">
        <v>1200</v>
      </c>
      <c r="L165" s="1">
        <v>1300</v>
      </c>
      <c r="M165" s="1">
        <v>1700</v>
      </c>
    </row>
    <row r="166" spans="6:13" x14ac:dyDescent="0.2">
      <c r="F166" t="s">
        <v>51</v>
      </c>
      <c r="G166" t="s">
        <v>52</v>
      </c>
      <c r="H166" t="s">
        <v>53</v>
      </c>
      <c r="I166" t="s">
        <v>43</v>
      </c>
    </row>
    <row r="167" spans="6:13" x14ac:dyDescent="0.2">
      <c r="F167">
        <v>298</v>
      </c>
      <c r="G167">
        <f t="shared" ref="G167:G230" si="51">F167/1000</f>
        <v>0.29799999999999999</v>
      </c>
      <c r="H167">
        <f>F167-273</f>
        <v>25</v>
      </c>
      <c r="I167" s="17">
        <f t="shared" ref="I167:M182" si="52">(I$159+I$160*$G167+I$161*($G167^2)+I$162*($G167^3)+I$163/($G167^2))/1000</f>
        <v>2.8836296683943292E-2</v>
      </c>
      <c r="J167" s="17">
        <f t="shared" si="52"/>
        <v>3.0646021084517201E-2</v>
      </c>
      <c r="K167" s="17">
        <f t="shared" si="52"/>
        <v>3.7122831621349162E-2</v>
      </c>
      <c r="L167" s="17">
        <f t="shared" si="52"/>
        <v>3.5643424878976322E-2</v>
      </c>
      <c r="M167" s="17">
        <f t="shared" si="52"/>
        <v>3.3589249003543944E-2</v>
      </c>
    </row>
    <row r="168" spans="6:13" x14ac:dyDescent="0.2">
      <c r="F168">
        <v>774</v>
      </c>
      <c r="G168">
        <f t="shared" si="51"/>
        <v>0.77400000000000002</v>
      </c>
      <c r="H168">
        <f>F168-273</f>
        <v>501</v>
      </c>
      <c r="I168" s="17">
        <f t="shared" si="52"/>
        <v>2.9569608400791592E-2</v>
      </c>
      <c r="J168" s="17">
        <f t="shared" si="52"/>
        <v>3.1263070063845412E-2</v>
      </c>
      <c r="K168" s="17">
        <f t="shared" si="52"/>
        <v>5.0985831047941417E-2</v>
      </c>
      <c r="L168" s="17">
        <f t="shared" si="52"/>
        <v>6.163592095572077E-2</v>
      </c>
      <c r="M168" s="17">
        <f t="shared" si="52"/>
        <v>3.8412059271263982E-2</v>
      </c>
    </row>
    <row r="169" spans="6:13" x14ac:dyDescent="0.2">
      <c r="F169">
        <v>775</v>
      </c>
      <c r="G169">
        <f t="shared" si="51"/>
        <v>0.77500000000000002</v>
      </c>
      <c r="H169">
        <f t="shared" ref="H169:H232" si="53">F169-273</f>
        <v>502</v>
      </c>
      <c r="I169" s="17">
        <f t="shared" si="52"/>
        <v>2.9571647068682785E-2</v>
      </c>
      <c r="J169" s="17">
        <f t="shared" si="52"/>
        <v>3.1269831693938342E-2</v>
      </c>
      <c r="K169" s="17">
        <f t="shared" si="52"/>
        <v>5.1003721820607389E-2</v>
      </c>
      <c r="L169" s="17">
        <f t="shared" si="52"/>
        <v>6.1686161554991341E-2</v>
      </c>
      <c r="M169" s="17">
        <f t="shared" si="52"/>
        <v>3.8424500287417403E-2</v>
      </c>
    </row>
    <row r="170" spans="6:13" x14ac:dyDescent="0.2">
      <c r="F170">
        <v>776</v>
      </c>
      <c r="G170">
        <f t="shared" si="51"/>
        <v>0.77600000000000002</v>
      </c>
      <c r="H170">
        <f t="shared" si="53"/>
        <v>503</v>
      </c>
      <c r="I170" s="17">
        <f t="shared" si="52"/>
        <v>2.9573693071198132E-2</v>
      </c>
      <c r="J170" s="17">
        <f t="shared" si="52"/>
        <v>3.1276591271540324E-2</v>
      </c>
      <c r="K170" s="17">
        <f t="shared" si="52"/>
        <v>5.102157989796359E-2</v>
      </c>
      <c r="L170" s="17">
        <f t="shared" si="52"/>
        <v>6.173635565900959E-2</v>
      </c>
      <c r="M170" s="17">
        <f t="shared" si="52"/>
        <v>3.843694447124834E-2</v>
      </c>
    </row>
    <row r="171" spans="6:13" x14ac:dyDescent="0.2">
      <c r="F171">
        <v>777</v>
      </c>
      <c r="G171">
        <f t="shared" si="51"/>
        <v>0.77700000000000002</v>
      </c>
      <c r="H171">
        <f t="shared" si="53"/>
        <v>504</v>
      </c>
      <c r="I171" s="17">
        <f t="shared" si="52"/>
        <v>2.9575746405267663E-2</v>
      </c>
      <c r="J171" s="17">
        <f t="shared" si="52"/>
        <v>3.1283348759724973E-2</v>
      </c>
      <c r="K171" s="17">
        <f t="shared" si="52"/>
        <v>5.1039405339392004E-2</v>
      </c>
      <c r="L171" s="17">
        <f t="shared" si="52"/>
        <v>6.1786503244889636E-2</v>
      </c>
      <c r="M171" s="17">
        <f t="shared" si="52"/>
        <v>3.8449391800521551E-2</v>
      </c>
    </row>
    <row r="172" spans="6:13" x14ac:dyDescent="0.2">
      <c r="F172">
        <v>778</v>
      </c>
      <c r="G172">
        <f t="shared" si="51"/>
        <v>0.77800000000000002</v>
      </c>
      <c r="H172">
        <f t="shared" si="53"/>
        <v>505</v>
      </c>
      <c r="I172" s="17">
        <f t="shared" si="52"/>
        <v>2.9577807067734288E-2</v>
      </c>
      <c r="J172" s="17">
        <f t="shared" si="52"/>
        <v>3.1290104121855851E-2</v>
      </c>
      <c r="K172" s="17">
        <f t="shared" si="52"/>
        <v>5.105719820419951E-2</v>
      </c>
      <c r="L172" s="17">
        <f t="shared" si="52"/>
        <v>6.183660429011853E-2</v>
      </c>
      <c r="M172" s="17">
        <f t="shared" si="52"/>
        <v>3.8461842253046948E-2</v>
      </c>
    </row>
    <row r="173" spans="6:13" x14ac:dyDescent="0.2">
      <c r="F173">
        <v>779</v>
      </c>
      <c r="G173">
        <f t="shared" si="51"/>
        <v>0.77900000000000003</v>
      </c>
      <c r="H173">
        <f t="shared" si="53"/>
        <v>506</v>
      </c>
      <c r="I173" s="17">
        <f t="shared" si="52"/>
        <v>2.9579875055354463E-2</v>
      </c>
      <c r="J173" s="17">
        <f t="shared" si="52"/>
        <v>3.1296857321584229E-2</v>
      </c>
      <c r="K173" s="17">
        <f t="shared" si="52"/>
        <v>5.1074958551618505E-2</v>
      </c>
      <c r="L173" s="17">
        <f t="shared" si="52"/>
        <v>6.1886658772553386E-2</v>
      </c>
      <c r="M173" s="17">
        <f t="shared" si="52"/>
        <v>3.8474295806679194E-2</v>
      </c>
    </row>
    <row r="174" spans="6:13" x14ac:dyDescent="0.2">
      <c r="F174">
        <v>780</v>
      </c>
      <c r="G174">
        <f t="shared" si="51"/>
        <v>0.78</v>
      </c>
      <c r="H174">
        <f t="shared" si="53"/>
        <v>507</v>
      </c>
      <c r="I174" s="17">
        <f t="shared" si="52"/>
        <v>2.9581950364798815E-2</v>
      </c>
      <c r="J174" s="17">
        <f t="shared" si="52"/>
        <v>3.1303608322846892E-2</v>
      </c>
      <c r="K174" s="17">
        <f t="shared" si="52"/>
        <v>5.109268644080743E-2</v>
      </c>
      <c r="L174" s="17">
        <f t="shared" si="52"/>
        <v>6.1936666670418472E-2</v>
      </c>
      <c r="M174" s="17">
        <f t="shared" si="52"/>
        <v>3.848675243931745E-2</v>
      </c>
    </row>
    <row r="175" spans="6:13" x14ac:dyDescent="0.2">
      <c r="F175">
        <v>781</v>
      </c>
      <c r="G175">
        <f t="shared" si="51"/>
        <v>0.78100000000000003</v>
      </c>
      <c r="H175">
        <f t="shared" si="53"/>
        <v>508</v>
      </c>
      <c r="I175" s="17">
        <f t="shared" si="52"/>
        <v>2.9584032992652842E-2</v>
      </c>
      <c r="J175" s="17">
        <f t="shared" si="52"/>
        <v>3.131035708986394E-2</v>
      </c>
      <c r="K175" s="17">
        <f t="shared" si="52"/>
        <v>5.1110381930851372E-2</v>
      </c>
      <c r="L175" s="17">
        <f t="shared" si="52"/>
        <v>6.1986627962302476E-2</v>
      </c>
      <c r="M175" s="17">
        <f t="shared" si="52"/>
        <v>3.849921212890494E-2</v>
      </c>
    </row>
    <row r="176" spans="6:13" x14ac:dyDescent="0.2">
      <c r="F176">
        <v>782</v>
      </c>
      <c r="G176">
        <f t="shared" si="51"/>
        <v>0.78200000000000003</v>
      </c>
      <c r="H176">
        <f t="shared" si="53"/>
        <v>509</v>
      </c>
      <c r="I176" s="17">
        <f t="shared" si="52"/>
        <v>2.9586122935417552E-2</v>
      </c>
      <c r="J176" s="17">
        <f t="shared" si="52"/>
        <v>3.1317103587136609E-2</v>
      </c>
      <c r="K176" s="17">
        <f t="shared" si="52"/>
        <v>5.1128045080762567E-2</v>
      </c>
      <c r="L176" s="17">
        <f t="shared" si="52"/>
        <v>6.2036542627155647E-2</v>
      </c>
      <c r="M176" s="17">
        <f t="shared" si="52"/>
        <v>3.8511674853428685E-2</v>
      </c>
    </row>
    <row r="177" spans="6:13" x14ac:dyDescent="0.2">
      <c r="F177">
        <v>783</v>
      </c>
      <c r="G177">
        <f t="shared" si="51"/>
        <v>0.78300000000000003</v>
      </c>
      <c r="H177">
        <f t="shared" si="53"/>
        <v>510</v>
      </c>
      <c r="I177" s="17">
        <f t="shared" si="52"/>
        <v>2.9588220189510114E-2</v>
      </c>
      <c r="J177" s="17">
        <f t="shared" si="52"/>
        <v>3.1323847779445128E-2</v>
      </c>
      <c r="K177" s="17">
        <f t="shared" si="52"/>
        <v>5.1145675949481058E-2</v>
      </c>
      <c r="L177" s="17">
        <f t="shared" si="52"/>
        <v>6.2086410644287056E-2</v>
      </c>
      <c r="M177" s="17">
        <f t="shared" si="52"/>
        <v>3.8524140590919138E-2</v>
      </c>
    </row>
    <row r="178" spans="6:13" x14ac:dyDescent="0.2">
      <c r="F178">
        <v>784</v>
      </c>
      <c r="G178">
        <f t="shared" si="51"/>
        <v>0.78400000000000003</v>
      </c>
      <c r="H178">
        <f t="shared" si="53"/>
        <v>511</v>
      </c>
      <c r="I178" s="17">
        <f t="shared" si="52"/>
        <v>2.9590324751264482E-2</v>
      </c>
      <c r="J178" s="17">
        <f t="shared" si="52"/>
        <v>3.1330589631846574E-2</v>
      </c>
      <c r="K178" s="17">
        <f t="shared" si="52"/>
        <v>5.1163274595875136E-2</v>
      </c>
      <c r="L178" s="17">
        <f t="shared" si="52"/>
        <v>6.2136231993361865E-2</v>
      </c>
      <c r="M178" s="17">
        <f t="shared" si="52"/>
        <v>3.8536609319449848E-2</v>
      </c>
    </row>
    <row r="179" spans="6:13" x14ac:dyDescent="0.2">
      <c r="F179">
        <v>785</v>
      </c>
      <c r="G179">
        <f t="shared" si="51"/>
        <v>0.78500000000000003</v>
      </c>
      <c r="H179">
        <f t="shared" si="53"/>
        <v>512</v>
      </c>
      <c r="I179" s="17">
        <f t="shared" si="52"/>
        <v>2.959243661693205E-2</v>
      </c>
      <c r="J179" s="17">
        <f t="shared" si="52"/>
        <v>3.1337329109672761E-2</v>
      </c>
      <c r="K179" s="17">
        <f t="shared" si="52"/>
        <v>5.1180841078741948E-2</v>
      </c>
      <c r="L179" s="17">
        <f t="shared" si="52"/>
        <v>6.2186006654398523E-2</v>
      </c>
      <c r="M179" s="17">
        <f t="shared" si="52"/>
        <v>3.854908101713711E-2</v>
      </c>
    </row>
    <row r="180" spans="6:13" x14ac:dyDescent="0.2">
      <c r="F180">
        <v>786</v>
      </c>
      <c r="G180">
        <f t="shared" si="51"/>
        <v>0.78600000000000003</v>
      </c>
      <c r="H180">
        <f t="shared" si="53"/>
        <v>513</v>
      </c>
      <c r="I180" s="17">
        <f t="shared" si="52"/>
        <v>2.9594555782682278E-2</v>
      </c>
      <c r="J180" s="17">
        <f t="shared" si="52"/>
        <v>3.1344066178528147E-2</v>
      </c>
      <c r="K180" s="17">
        <f t="shared" si="52"/>
        <v>5.1198375456808075E-2</v>
      </c>
      <c r="L180" s="17">
        <f t="shared" si="52"/>
        <v>6.2235734607766234E-2</v>
      </c>
      <c r="M180" s="17">
        <f t="shared" si="52"/>
        <v>3.8561555662139722E-2</v>
      </c>
    </row>
    <row r="181" spans="6:13" x14ac:dyDescent="0.2">
      <c r="F181">
        <v>787</v>
      </c>
      <c r="G181">
        <f t="shared" si="51"/>
        <v>0.78700000000000003</v>
      </c>
      <c r="H181">
        <f t="shared" si="53"/>
        <v>514</v>
      </c>
      <c r="I181" s="17">
        <f t="shared" si="52"/>
        <v>2.9596682244603319E-2</v>
      </c>
      <c r="J181" s="17">
        <f t="shared" si="52"/>
        <v>3.135080080428778E-2</v>
      </c>
      <c r="K181" s="17">
        <f t="shared" si="52"/>
        <v>5.1215877788729949E-2</v>
      </c>
      <c r="L181" s="17">
        <f t="shared" si="52"/>
        <v>6.2285415834182116E-2</v>
      </c>
      <c r="M181" s="17">
        <f t="shared" si="52"/>
        <v>3.857403323265856E-2</v>
      </c>
    </row>
    <row r="182" spans="6:13" x14ac:dyDescent="0.2">
      <c r="F182">
        <v>788</v>
      </c>
      <c r="G182">
        <f t="shared" si="51"/>
        <v>0.78800000000000003</v>
      </c>
      <c r="H182">
        <f t="shared" si="53"/>
        <v>515</v>
      </c>
      <c r="I182" s="17">
        <f t="shared" si="52"/>
        <v>2.9598815998702611E-2</v>
      </c>
      <c r="J182" s="17">
        <f t="shared" si="52"/>
        <v>3.1357532953095187E-2</v>
      </c>
      <c r="K182" s="17">
        <f t="shared" si="52"/>
        <v>5.1233348133094568E-2</v>
      </c>
      <c r="L182" s="17">
        <f t="shared" si="52"/>
        <v>6.2335050314708623E-2</v>
      </c>
      <c r="M182" s="17">
        <f t="shared" si="52"/>
        <v>3.8586513706936325E-2</v>
      </c>
    </row>
    <row r="183" spans="6:13" x14ac:dyDescent="0.2">
      <c r="F183">
        <v>789</v>
      </c>
      <c r="G183">
        <f t="shared" si="51"/>
        <v>0.78900000000000003</v>
      </c>
      <c r="H183">
        <f t="shared" si="53"/>
        <v>516</v>
      </c>
      <c r="I183" s="17">
        <f t="shared" ref="I183:M198" si="54">(I$159+I$160*$G183+I$161*($G183^2)+I$162*($G183^3)+I$163/($G183^2))/1000</f>
        <v>2.9600957040907538E-2</v>
      </c>
      <c r="J183" s="17">
        <f t="shared" si="54"/>
        <v>3.1364262591360374E-2</v>
      </c>
      <c r="K183" s="17">
        <f t="shared" si="54"/>
        <v>5.1250786548419809E-2</v>
      </c>
      <c r="L183" s="17">
        <f t="shared" si="54"/>
        <v>6.2384638030750943E-2</v>
      </c>
      <c r="M183" s="17">
        <f t="shared" si="54"/>
        <v>3.8598997063257173E-2</v>
      </c>
    </row>
    <row r="184" spans="6:13" x14ac:dyDescent="0.2">
      <c r="F184">
        <v>790</v>
      </c>
      <c r="G184">
        <f t="shared" si="51"/>
        <v>0.79</v>
      </c>
      <c r="H184">
        <f t="shared" si="53"/>
        <v>517</v>
      </c>
      <c r="I184" s="17">
        <f t="shared" si="54"/>
        <v>2.9603105367065993E-2</v>
      </c>
      <c r="J184" s="17">
        <f t="shared" si="54"/>
        <v>3.1370989685757779E-2</v>
      </c>
      <c r="K184" s="17">
        <f t="shared" si="54"/>
        <v>5.1268193093155161E-2</v>
      </c>
      <c r="L184" s="17">
        <f t="shared" si="54"/>
        <v>6.2434178964054392E-2</v>
      </c>
      <c r="M184" s="17">
        <f t="shared" si="54"/>
        <v>3.8611483279946485E-2</v>
      </c>
    </row>
    <row r="185" spans="6:13" x14ac:dyDescent="0.2">
      <c r="F185">
        <v>791</v>
      </c>
      <c r="G185">
        <f t="shared" si="51"/>
        <v>0.79100000000000004</v>
      </c>
      <c r="H185">
        <f t="shared" si="53"/>
        <v>518</v>
      </c>
      <c r="I185" s="17">
        <f t="shared" si="54"/>
        <v>2.9605260972947009E-2</v>
      </c>
      <c r="J185" s="17">
        <f t="shared" si="54"/>
        <v>3.1377714203224299E-2</v>
      </c>
      <c r="K185" s="17">
        <f t="shared" si="54"/>
        <v>5.1285567825682089E-2</v>
      </c>
      <c r="L185" s="17">
        <f t="shared" si="54"/>
        <v>6.2483673096701782E-2</v>
      </c>
      <c r="M185" s="17">
        <f t="shared" si="54"/>
        <v>3.8623972335370432E-2</v>
      </c>
    </row>
    <row r="186" spans="6:13" x14ac:dyDescent="0.2">
      <c r="F186">
        <v>792</v>
      </c>
      <c r="G186">
        <f t="shared" si="51"/>
        <v>0.79200000000000004</v>
      </c>
      <c r="H186">
        <f t="shared" si="53"/>
        <v>519</v>
      </c>
      <c r="I186" s="17">
        <f t="shared" si="54"/>
        <v>2.9607423854241342E-2</v>
      </c>
      <c r="J186" s="17">
        <f t="shared" si="54"/>
        <v>3.1384436110957287E-2</v>
      </c>
      <c r="K186" s="17">
        <f t="shared" si="54"/>
        <v>5.1302910804314601E-2</v>
      </c>
      <c r="L186" s="17">
        <f t="shared" si="54"/>
        <v>6.2533120411110893E-2</v>
      </c>
      <c r="M186" s="17">
        <f t="shared" si="54"/>
        <v>3.8636464207935796E-2</v>
      </c>
    </row>
    <row r="187" spans="6:13" x14ac:dyDescent="0.2">
      <c r="F187">
        <v>793</v>
      </c>
      <c r="G187">
        <f t="shared" si="51"/>
        <v>0.79300000000000004</v>
      </c>
      <c r="H187">
        <f t="shared" si="53"/>
        <v>520</v>
      </c>
      <c r="I187" s="17">
        <f t="shared" si="54"/>
        <v>2.9609594006562066E-2</v>
      </c>
      <c r="J187" s="17">
        <f t="shared" si="54"/>
        <v>3.1391155376412537E-2</v>
      </c>
      <c r="K187" s="17">
        <f t="shared" si="54"/>
        <v>5.1320222087299791E-2</v>
      </c>
      <c r="L187" s="17">
        <f t="shared" si="54"/>
        <v>6.2582520890032009E-2</v>
      </c>
      <c r="M187" s="17">
        <f t="shared" si="54"/>
        <v>3.8648958876089531E-2</v>
      </c>
    </row>
    <row r="188" spans="6:13" x14ac:dyDescent="0.2">
      <c r="F188">
        <v>794</v>
      </c>
      <c r="G188">
        <f t="shared" si="51"/>
        <v>0.79400000000000004</v>
      </c>
      <c r="H188">
        <f t="shared" si="53"/>
        <v>521</v>
      </c>
      <c r="I188" s="17">
        <f t="shared" si="54"/>
        <v>2.9611771425445157E-2</v>
      </c>
      <c r="J188" s="17">
        <f t="shared" si="54"/>
        <v>3.1397871967302433E-2</v>
      </c>
      <c r="K188" s="17">
        <f t="shared" si="54"/>
        <v>5.1337501732818321E-2</v>
      </c>
      <c r="L188" s="17">
        <f t="shared" si="54"/>
        <v>6.2631874516545311E-2</v>
      </c>
      <c r="M188" s="17">
        <f t="shared" si="54"/>
        <v>3.8661456318318604E-2</v>
      </c>
    </row>
    <row r="189" spans="6:13" x14ac:dyDescent="0.2">
      <c r="F189">
        <v>795</v>
      </c>
      <c r="G189">
        <f t="shared" si="51"/>
        <v>0.79500000000000004</v>
      </c>
      <c r="H189">
        <f t="shared" si="53"/>
        <v>522</v>
      </c>
      <c r="I189" s="17">
        <f t="shared" si="54"/>
        <v>2.9613956106350092E-2</v>
      </c>
      <c r="J189" s="17">
        <f t="shared" si="54"/>
        <v>3.1404585851593919E-2</v>
      </c>
      <c r="K189" s="17">
        <f t="shared" si="54"/>
        <v>5.135474979898489E-2</v>
      </c>
      <c r="L189" s="17">
        <f t="shared" si="54"/>
        <v>6.2681181274058403E-2</v>
      </c>
      <c r="M189" s="17">
        <f t="shared" si="54"/>
        <v>3.8673956513149581E-2</v>
      </c>
    </row>
    <row r="190" spans="6:13" x14ac:dyDescent="0.2">
      <c r="F190">
        <v>796</v>
      </c>
      <c r="G190">
        <f t="shared" si="51"/>
        <v>0.79600000000000004</v>
      </c>
      <c r="H190">
        <f t="shared" si="53"/>
        <v>523</v>
      </c>
      <c r="I190" s="17">
        <f t="shared" si="54"/>
        <v>2.9616148044660395E-2</v>
      </c>
      <c r="J190" s="17">
        <f t="shared" si="54"/>
        <v>3.1411296997506617E-2</v>
      </c>
      <c r="K190" s="17">
        <f t="shared" si="54"/>
        <v>5.137196634384876E-2</v>
      </c>
      <c r="L190" s="17">
        <f t="shared" si="54"/>
        <v>6.2730441146303911E-2</v>
      </c>
      <c r="M190" s="17">
        <f t="shared" si="54"/>
        <v>3.8686459439148363E-2</v>
      </c>
    </row>
    <row r="191" spans="6:13" x14ac:dyDescent="0.2">
      <c r="F191">
        <v>797</v>
      </c>
      <c r="G191">
        <f t="shared" si="51"/>
        <v>0.79700000000000004</v>
      </c>
      <c r="H191">
        <f t="shared" si="53"/>
        <v>524</v>
      </c>
      <c r="I191" s="17">
        <f t="shared" si="54"/>
        <v>2.9618347235684236E-2</v>
      </c>
      <c r="J191" s="17">
        <f t="shared" si="54"/>
        <v>3.141800537351095E-2</v>
      </c>
      <c r="K191" s="17">
        <f t="shared" si="54"/>
        <v>5.1389151425394283E-2</v>
      </c>
      <c r="L191" s="17">
        <f t="shared" si="54"/>
        <v>6.2779654117336964E-2</v>
      </c>
      <c r="M191" s="17">
        <f t="shared" si="54"/>
        <v>3.8698965074919905E-2</v>
      </c>
    </row>
    <row r="192" spans="6:13" x14ac:dyDescent="0.2">
      <c r="F192">
        <v>798</v>
      </c>
      <c r="G192">
        <f t="shared" si="51"/>
        <v>0.79800000000000004</v>
      </c>
      <c r="H192">
        <f t="shared" si="53"/>
        <v>525</v>
      </c>
      <c r="I192" s="17">
        <f t="shared" si="54"/>
        <v>2.9620553674654972E-2</v>
      </c>
      <c r="J192" s="17">
        <f t="shared" si="54"/>
        <v>3.1424710948326204E-2</v>
      </c>
      <c r="K192" s="17">
        <f t="shared" si="54"/>
        <v>5.1406305101541323E-2</v>
      </c>
      <c r="L192" s="17">
        <f t="shared" si="54"/>
        <v>6.2828820171532809E-2</v>
      </c>
      <c r="M192" s="17">
        <f t="shared" si="54"/>
        <v>3.8711473399107882E-2</v>
      </c>
    </row>
    <row r="193" spans="6:13" x14ac:dyDescent="0.2">
      <c r="F193">
        <v>799</v>
      </c>
      <c r="G193">
        <f t="shared" si="51"/>
        <v>0.79900000000000004</v>
      </c>
      <c r="H193">
        <f t="shared" si="53"/>
        <v>526</v>
      </c>
      <c r="I193" s="17">
        <f t="shared" si="54"/>
        <v>2.9622767356731746E-2</v>
      </c>
      <c r="J193" s="17">
        <f t="shared" si="54"/>
        <v>3.1431413690918723E-2</v>
      </c>
      <c r="K193" s="17">
        <f t="shared" si="54"/>
        <v>5.1423427430145753E-2</v>
      </c>
      <c r="L193" s="17">
        <f t="shared" si="54"/>
        <v>6.2877939293584373E-2</v>
      </c>
      <c r="M193" s="17">
        <f t="shared" si="54"/>
        <v>3.8723984390394484E-2</v>
      </c>
    </row>
    <row r="194" spans="6:13" x14ac:dyDescent="0.2">
      <c r="F194">
        <v>800</v>
      </c>
      <c r="G194">
        <f t="shared" si="51"/>
        <v>0.8</v>
      </c>
      <c r="H194">
        <f t="shared" si="53"/>
        <v>527</v>
      </c>
      <c r="I194" s="17">
        <f t="shared" si="54"/>
        <v>2.9624988277000001E-2</v>
      </c>
      <c r="J194" s="17">
        <f t="shared" si="54"/>
        <v>3.1438113570499998E-2</v>
      </c>
      <c r="K194" s="17">
        <f t="shared" si="54"/>
        <v>5.1440518469000003E-2</v>
      </c>
      <c r="L194" s="17">
        <f t="shared" si="54"/>
        <v>6.2927011468499994E-2</v>
      </c>
      <c r="M194" s="17">
        <f t="shared" si="54"/>
        <v>3.8736498027499996E-2</v>
      </c>
    </row>
    <row r="195" spans="6:13" x14ac:dyDescent="0.2">
      <c r="F195">
        <v>801</v>
      </c>
      <c r="G195">
        <f t="shared" si="51"/>
        <v>0.80100000000000005</v>
      </c>
      <c r="H195">
        <f t="shared" si="53"/>
        <v>528</v>
      </c>
      <c r="I195" s="17">
        <f t="shared" si="54"/>
        <v>2.9627216430472055E-2</v>
      </c>
      <c r="J195" s="17">
        <f t="shared" si="54"/>
        <v>3.1444810556524871E-2</v>
      </c>
      <c r="K195" s="17">
        <f t="shared" si="54"/>
        <v>5.1457578275833429E-2</v>
      </c>
      <c r="L195" s="17">
        <f t="shared" si="54"/>
        <v>6.29760366816009E-2</v>
      </c>
      <c r="M195" s="17">
        <f t="shared" si="54"/>
        <v>3.8749014289182669E-2</v>
      </c>
    </row>
    <row r="196" spans="6:13" x14ac:dyDescent="0.2">
      <c r="F196">
        <v>802</v>
      </c>
      <c r="G196">
        <f t="shared" si="51"/>
        <v>0.80200000000000005</v>
      </c>
      <c r="H196">
        <f t="shared" si="53"/>
        <v>529</v>
      </c>
      <c r="I196" s="17">
        <f t="shared" si="54"/>
        <v>2.9629451812087641E-2</v>
      </c>
      <c r="J196" s="17">
        <f t="shared" si="54"/>
        <v>3.1451504618689709E-2</v>
      </c>
      <c r="K196" s="17">
        <f t="shared" si="54"/>
        <v>5.1474606908312862E-2</v>
      </c>
      <c r="L196" s="17">
        <f t="shared" si="54"/>
        <v>6.3025014918518946E-2</v>
      </c>
      <c r="M196" s="17">
        <f t="shared" si="54"/>
        <v>3.8761533154238276E-2</v>
      </c>
    </row>
    <row r="197" spans="6:13" x14ac:dyDescent="0.2">
      <c r="F197">
        <v>803</v>
      </c>
      <c r="G197">
        <f t="shared" si="51"/>
        <v>0.80300000000000005</v>
      </c>
      <c r="H197">
        <f t="shared" si="53"/>
        <v>530</v>
      </c>
      <c r="I197" s="17">
        <f t="shared" si="54"/>
        <v>2.9631694416714451E-2</v>
      </c>
      <c r="J197" s="17">
        <f t="shared" si="54"/>
        <v>3.145819572693058E-2</v>
      </c>
      <c r="K197" s="17">
        <f t="shared" si="54"/>
        <v>5.1491604424043082E-2</v>
      </c>
      <c r="L197" s="17">
        <f t="shared" si="54"/>
        <v>6.3073946165194308E-2</v>
      </c>
      <c r="M197" s="17">
        <f t="shared" si="54"/>
        <v>3.8774054601499977E-2</v>
      </c>
    </row>
    <row r="198" spans="6:13" x14ac:dyDescent="0.2">
      <c r="F198">
        <v>804</v>
      </c>
      <c r="G198">
        <f t="shared" si="51"/>
        <v>0.80400000000000005</v>
      </c>
      <c r="H198">
        <f t="shared" si="53"/>
        <v>531</v>
      </c>
      <c r="I198" s="17">
        <f t="shared" si="54"/>
        <v>2.9633944239148689E-2</v>
      </c>
      <c r="J198" s="17">
        <f t="shared" si="54"/>
        <v>3.1464883851421488E-2</v>
      </c>
      <c r="K198" s="17">
        <f t="shared" si="54"/>
        <v>5.1508570880567178E-2</v>
      </c>
      <c r="L198" s="17">
        <f t="shared" si="54"/>
        <v>6.3122830407873198E-2</v>
      </c>
      <c r="M198" s="17">
        <f t="shared" si="54"/>
        <v>3.8786578609837925E-2</v>
      </c>
    </row>
    <row r="199" spans="6:13" x14ac:dyDescent="0.2">
      <c r="F199">
        <v>805</v>
      </c>
      <c r="G199">
        <f t="shared" si="51"/>
        <v>0.80500000000000005</v>
      </c>
      <c r="H199">
        <f t="shared" si="53"/>
        <v>532</v>
      </c>
      <c r="I199" s="17">
        <f t="shared" ref="I199:M214" si="55">(I$159+I$160*$G199+I$161*($G199^2)+I$162*($G199^3)+I$163/($G199^2))/1000</f>
        <v>2.9636201274115561E-2</v>
      </c>
      <c r="J199" s="17">
        <f t="shared" si="55"/>
        <v>3.1471568962572596E-2</v>
      </c>
      <c r="K199" s="17">
        <f t="shared" si="55"/>
        <v>5.1525506335367156E-2</v>
      </c>
      <c r="L199" s="17">
        <f t="shared" si="55"/>
        <v>6.3171667633105527E-2</v>
      </c>
      <c r="M199" s="17">
        <f t="shared" si="55"/>
        <v>3.8799105158159063E-2</v>
      </c>
    </row>
    <row r="200" spans="6:13" x14ac:dyDescent="0.2">
      <c r="F200">
        <v>806</v>
      </c>
      <c r="G200">
        <f t="shared" si="51"/>
        <v>0.80600000000000005</v>
      </c>
      <c r="H200">
        <f t="shared" si="53"/>
        <v>533</v>
      </c>
      <c r="I200" s="17">
        <f t="shared" si="55"/>
        <v>2.9638465516269849E-2</v>
      </c>
      <c r="J200" s="17">
        <f t="shared" si="55"/>
        <v>3.1478251031028449E-2</v>
      </c>
      <c r="K200" s="17">
        <f t="shared" si="55"/>
        <v>5.1542410845864257E-2</v>
      </c>
      <c r="L200" s="17">
        <f t="shared" si="55"/>
        <v>6.322045782774266E-2</v>
      </c>
      <c r="M200" s="17">
        <f t="shared" si="55"/>
        <v>3.8811634225406816E-2</v>
      </c>
    </row>
    <row r="201" spans="6:13" x14ac:dyDescent="0.2">
      <c r="F201">
        <v>807</v>
      </c>
      <c r="G201">
        <f t="shared" si="51"/>
        <v>0.80700000000000005</v>
      </c>
      <c r="H201">
        <f t="shared" si="53"/>
        <v>534</v>
      </c>
      <c r="I201" s="17">
        <f t="shared" si="55"/>
        <v>2.9640736960196406E-2</v>
      </c>
      <c r="J201" s="17">
        <f t="shared" si="55"/>
        <v>3.1484930027666273E-2</v>
      </c>
      <c r="K201" s="17">
        <f t="shared" si="55"/>
        <v>5.1559284469419514E-2</v>
      </c>
      <c r="L201" s="17">
        <f t="shared" si="55"/>
        <v>6.3269200978935236E-2</v>
      </c>
      <c r="M201" s="17">
        <f t="shared" si="55"/>
        <v>3.882416579056084E-2</v>
      </c>
    </row>
    <row r="202" spans="6:13" x14ac:dyDescent="0.2">
      <c r="F202">
        <v>808</v>
      </c>
      <c r="G202">
        <f t="shared" si="51"/>
        <v>0.80800000000000005</v>
      </c>
      <c r="H202">
        <f t="shared" si="53"/>
        <v>535</v>
      </c>
      <c r="I202" s="17">
        <f t="shared" si="55"/>
        <v>2.9643015600410702E-2</v>
      </c>
      <c r="J202" s="17">
        <f t="shared" si="55"/>
        <v>3.1491605923594214E-2</v>
      </c>
      <c r="K202" s="17">
        <f t="shared" si="55"/>
        <v>5.1576127263334125E-2</v>
      </c>
      <c r="L202" s="17">
        <f t="shared" si="55"/>
        <v>6.3317897074130838E-2</v>
      </c>
      <c r="M202" s="17">
        <f t="shared" si="55"/>
        <v>3.8836699832636726E-2</v>
      </c>
    </row>
    <row r="203" spans="6:13" x14ac:dyDescent="0.2">
      <c r="F203">
        <v>809</v>
      </c>
      <c r="G203">
        <f t="shared" si="51"/>
        <v>0.80900000000000005</v>
      </c>
      <c r="H203">
        <f t="shared" si="53"/>
        <v>536</v>
      </c>
      <c r="I203" s="17">
        <f t="shared" si="55"/>
        <v>2.9645301431359298E-2</v>
      </c>
      <c r="J203" s="17">
        <f t="shared" si="55"/>
        <v>3.1498278690149629E-2</v>
      </c>
      <c r="K203" s="17">
        <f t="shared" si="55"/>
        <v>5.1592939284849933E-2</v>
      </c>
      <c r="L203" s="17">
        <f t="shared" si="55"/>
        <v>6.3366546101071911E-2</v>
      </c>
      <c r="M203" s="17">
        <f t="shared" si="55"/>
        <v>3.884923633068578E-2</v>
      </c>
    </row>
    <row r="204" spans="6:13" x14ac:dyDescent="0.2">
      <c r="F204">
        <v>810</v>
      </c>
      <c r="G204">
        <f t="shared" si="51"/>
        <v>0.81</v>
      </c>
      <c r="H204">
        <f t="shared" si="53"/>
        <v>537</v>
      </c>
      <c r="I204" s="17">
        <f t="shared" si="55"/>
        <v>2.9647594447420381E-2</v>
      </c>
      <c r="J204" s="17">
        <f t="shared" si="55"/>
        <v>3.1504948298897405E-2</v>
      </c>
      <c r="K204" s="17">
        <f t="shared" si="55"/>
        <v>5.1609720591149849E-2</v>
      </c>
      <c r="L204" s="17">
        <f t="shared" si="55"/>
        <v>6.3415148047793482E-2</v>
      </c>
      <c r="M204" s="17">
        <f t="shared" si="55"/>
        <v>3.8861775263794696E-2</v>
      </c>
    </row>
    <row r="205" spans="6:13" x14ac:dyDescent="0.2">
      <c r="F205">
        <v>811</v>
      </c>
      <c r="G205">
        <f t="shared" si="51"/>
        <v>0.81100000000000005</v>
      </c>
      <c r="H205">
        <f t="shared" si="53"/>
        <v>538</v>
      </c>
      <c r="I205" s="17">
        <f t="shared" si="55"/>
        <v>2.9649894642904285E-2</v>
      </c>
      <c r="J205" s="17">
        <f t="shared" si="55"/>
        <v>3.1511614721628264E-2</v>
      </c>
      <c r="K205" s="17">
        <f t="shared" si="55"/>
        <v>5.1626471239358339E-2</v>
      </c>
      <c r="L205" s="17">
        <f t="shared" si="55"/>
        <v>6.3463702902621072E-2</v>
      </c>
      <c r="M205" s="17">
        <f t="shared" si="55"/>
        <v>3.8874316611085355E-2</v>
      </c>
    </row>
    <row r="206" spans="6:13" x14ac:dyDescent="0.2">
      <c r="F206">
        <v>812</v>
      </c>
      <c r="G206">
        <f t="shared" si="51"/>
        <v>0.81200000000000006</v>
      </c>
      <c r="H206">
        <f t="shared" si="53"/>
        <v>539</v>
      </c>
      <c r="I206" s="17">
        <f t="shared" si="55"/>
        <v>2.9652202012053961E-2</v>
      </c>
      <c r="J206" s="17">
        <f t="shared" si="55"/>
        <v>3.1518277930357122E-2</v>
      </c>
      <c r="K206" s="17">
        <f t="shared" si="55"/>
        <v>5.164319128654174E-2</v>
      </c>
      <c r="L206" s="17">
        <f t="shared" si="55"/>
        <v>6.3512210654168524E-2</v>
      </c>
      <c r="M206" s="17">
        <f t="shared" si="55"/>
        <v>3.8886860351714507E-2</v>
      </c>
    </row>
    <row r="207" spans="6:13" x14ac:dyDescent="0.2">
      <c r="F207">
        <v>813</v>
      </c>
      <c r="G207">
        <f t="shared" si="51"/>
        <v>0.81299999999999994</v>
      </c>
      <c r="H207">
        <f t="shared" si="53"/>
        <v>540</v>
      </c>
      <c r="I207" s="17">
        <f t="shared" si="55"/>
        <v>2.9654516549045492E-2</v>
      </c>
      <c r="J207" s="17">
        <f t="shared" si="55"/>
        <v>3.1524937897321366E-2</v>
      </c>
      <c r="K207" s="17">
        <f t="shared" si="55"/>
        <v>5.1659880789708831E-2</v>
      </c>
      <c r="L207" s="17">
        <f t="shared" si="55"/>
        <v>6.3560671291335788E-2</v>
      </c>
      <c r="M207" s="17">
        <f t="shared" si="55"/>
        <v>3.8899406464873582E-2</v>
      </c>
    </row>
    <row r="208" spans="6:13" x14ac:dyDescent="0.2">
      <c r="F208">
        <v>814</v>
      </c>
      <c r="G208">
        <f t="shared" si="51"/>
        <v>0.81399999999999995</v>
      </c>
      <c r="H208">
        <f t="shared" si="53"/>
        <v>541</v>
      </c>
      <c r="I208" s="17">
        <f t="shared" si="55"/>
        <v>2.9656838247988579E-2</v>
      </c>
      <c r="J208" s="17">
        <f t="shared" si="55"/>
        <v>3.1531594594979326E-2</v>
      </c>
      <c r="K208" s="17">
        <f t="shared" si="55"/>
        <v>5.1676539805811127E-2</v>
      </c>
      <c r="L208" s="17">
        <f t="shared" si="55"/>
        <v>6.3609084803307001E-2</v>
      </c>
      <c r="M208" s="17">
        <f t="shared" si="55"/>
        <v>3.891195492978837E-2</v>
      </c>
    </row>
    <row r="209" spans="6:13" x14ac:dyDescent="0.2">
      <c r="F209">
        <v>815</v>
      </c>
      <c r="G209">
        <f t="shared" si="51"/>
        <v>0.81499999999999995</v>
      </c>
      <c r="H209">
        <f t="shared" si="53"/>
        <v>542</v>
      </c>
      <c r="I209" s="17">
        <f t="shared" si="55"/>
        <v>2.9659167102927021E-2</v>
      </c>
      <c r="J209" s="17">
        <f t="shared" si="55"/>
        <v>3.153824799600851E-2</v>
      </c>
      <c r="K209" s="17">
        <f t="shared" si="55"/>
        <v>5.1693168391743399E-2</v>
      </c>
      <c r="L209" s="17">
        <f t="shared" si="55"/>
        <v>6.3657451179548255E-2</v>
      </c>
      <c r="M209" s="17">
        <f t="shared" si="55"/>
        <v>3.892450572571881E-2</v>
      </c>
    </row>
    <row r="210" spans="6:13" x14ac:dyDescent="0.2">
      <c r="F210">
        <v>816</v>
      </c>
      <c r="G210">
        <f t="shared" si="51"/>
        <v>0.81599999999999995</v>
      </c>
      <c r="H210">
        <f t="shared" si="53"/>
        <v>543</v>
      </c>
      <c r="I210" s="17">
        <f t="shared" si="55"/>
        <v>2.9661503107839222E-2</v>
      </c>
      <c r="J210" s="17">
        <f t="shared" si="55"/>
        <v>3.1544898073304149E-2</v>
      </c>
      <c r="K210" s="17">
        <f t="shared" si="55"/>
        <v>5.1709766604344072E-2</v>
      </c>
      <c r="L210" s="17">
        <f t="shared" si="55"/>
        <v>6.3705770409805532E-2</v>
      </c>
      <c r="M210" s="17">
        <f t="shared" si="55"/>
        <v>3.8937058831958707E-2</v>
      </c>
    </row>
    <row r="211" spans="6:13" x14ac:dyDescent="0.2">
      <c r="F211">
        <v>817</v>
      </c>
      <c r="G211">
        <f t="shared" si="51"/>
        <v>0.81699999999999995</v>
      </c>
      <c r="H211">
        <f t="shared" si="53"/>
        <v>544</v>
      </c>
      <c r="I211" s="17">
        <f t="shared" si="55"/>
        <v>2.9663846256638669E-2</v>
      </c>
      <c r="J211" s="17">
        <f t="shared" si="55"/>
        <v>3.155154479997746E-2</v>
      </c>
      <c r="K211" s="17">
        <f t="shared" si="55"/>
        <v>5.1726334500395578E-2</v>
      </c>
      <c r="L211" s="17">
        <f t="shared" si="55"/>
        <v>6.3754042484102658E-2</v>
      </c>
      <c r="M211" s="17">
        <f t="shared" si="55"/>
        <v>3.8949614227835536E-2</v>
      </c>
    </row>
    <row r="212" spans="6:13" x14ac:dyDescent="0.2">
      <c r="F212">
        <v>818</v>
      </c>
      <c r="G212">
        <f t="shared" si="51"/>
        <v>0.81799999999999995</v>
      </c>
      <c r="H212">
        <f t="shared" si="53"/>
        <v>545</v>
      </c>
      <c r="I212" s="17">
        <f t="shared" si="55"/>
        <v>2.9666196543174383E-2</v>
      </c>
      <c r="J212" s="17">
        <f t="shared" si="55"/>
        <v>3.1558188149354148E-2</v>
      </c>
      <c r="K212" s="17">
        <f t="shared" si="55"/>
        <v>5.1742872136624804E-2</v>
      </c>
      <c r="L212" s="17">
        <f t="shared" si="55"/>
        <v>6.3802267392739392E-2</v>
      </c>
      <c r="M212" s="17">
        <f t="shared" si="55"/>
        <v>3.8962171892710104E-2</v>
      </c>
    </row>
    <row r="213" spans="6:13" x14ac:dyDescent="0.2">
      <c r="F213">
        <v>819</v>
      </c>
      <c r="G213">
        <f t="shared" si="51"/>
        <v>0.81899999999999995</v>
      </c>
      <c r="H213">
        <f t="shared" si="53"/>
        <v>546</v>
      </c>
      <c r="I213" s="17">
        <f t="shared" si="55"/>
        <v>2.9668553961231393E-2</v>
      </c>
      <c r="J213" s="17">
        <f t="shared" si="55"/>
        <v>3.1564828094972824E-2</v>
      </c>
      <c r="K213" s="17">
        <f t="shared" si="55"/>
        <v>5.1759379569703556E-2</v>
      </c>
      <c r="L213" s="17">
        <f t="shared" si="55"/>
        <v>6.3850445126289179E-2</v>
      </c>
      <c r="M213" s="17">
        <f t="shared" si="55"/>
        <v>3.8974731805976416E-2</v>
      </c>
    </row>
    <row r="214" spans="6:13" x14ac:dyDescent="0.2">
      <c r="F214">
        <v>820</v>
      </c>
      <c r="G214">
        <f t="shared" si="51"/>
        <v>0.82</v>
      </c>
      <c r="H214">
        <f t="shared" si="53"/>
        <v>547</v>
      </c>
      <c r="I214" s="17">
        <f t="shared" si="55"/>
        <v>2.9670918504531234E-2</v>
      </c>
      <c r="J214" s="17">
        <f t="shared" si="55"/>
        <v>3.1571464610583383E-2</v>
      </c>
      <c r="K214" s="17">
        <f t="shared" si="55"/>
        <v>5.1775856856248831E-2</v>
      </c>
      <c r="L214" s="17">
        <f t="shared" si="55"/>
        <v>6.3898575675597327E-2</v>
      </c>
      <c r="M214" s="17">
        <f t="shared" si="55"/>
        <v>3.8987293947061366E-2</v>
      </c>
    </row>
    <row r="215" spans="6:13" x14ac:dyDescent="0.2">
      <c r="F215">
        <v>821</v>
      </c>
      <c r="G215">
        <f t="shared" si="51"/>
        <v>0.82099999999999995</v>
      </c>
      <c r="H215">
        <f t="shared" si="53"/>
        <v>548</v>
      </c>
      <c r="I215" s="17">
        <f t="shared" ref="I215:M230" si="56">(I$159+I$160*$G215+I$161*($G215^2)+I$162*($G215^3)+I$163/($G215^2))/1000</f>
        <v>2.96732901667324E-2</v>
      </c>
      <c r="J215" s="17">
        <f t="shared" si="56"/>
        <v>3.157809767014557E-2</v>
      </c>
      <c r="K215" s="17">
        <f t="shared" si="56"/>
        <v>5.1792304052823368E-2</v>
      </c>
      <c r="L215" s="17">
        <f t="shared" si="56"/>
        <v>6.3946659031778957E-2</v>
      </c>
      <c r="M215" s="17">
        <f t="shared" si="56"/>
        <v>3.8999858295424482E-2</v>
      </c>
    </row>
    <row r="216" spans="6:13" x14ac:dyDescent="0.2">
      <c r="F216">
        <v>822</v>
      </c>
      <c r="G216">
        <f t="shared" si="51"/>
        <v>0.82199999999999995</v>
      </c>
      <c r="H216">
        <f t="shared" si="53"/>
        <v>549</v>
      </c>
      <c r="I216" s="17">
        <f t="shared" si="56"/>
        <v>2.9675668941430783E-2</v>
      </c>
      <c r="J216" s="17">
        <f t="shared" si="56"/>
        <v>3.1584727247827356E-2</v>
      </c>
      <c r="K216" s="17">
        <f t="shared" si="56"/>
        <v>5.180872121593591E-2</v>
      </c>
      <c r="L216" s="17">
        <f t="shared" si="56"/>
        <v>6.399469518621706E-2</v>
      </c>
      <c r="M216" s="17">
        <f t="shared" si="56"/>
        <v>3.9012424830557731E-2</v>
      </c>
    </row>
    <row r="217" spans="6:13" x14ac:dyDescent="0.2">
      <c r="F217">
        <v>823</v>
      </c>
      <c r="G217">
        <f t="shared" si="51"/>
        <v>0.82299999999999995</v>
      </c>
      <c r="H217">
        <f t="shared" si="53"/>
        <v>550</v>
      </c>
      <c r="I217" s="17">
        <f t="shared" si="56"/>
        <v>2.9678054822160141E-2</v>
      </c>
      <c r="J217" s="17">
        <f t="shared" si="56"/>
        <v>3.1591353318003466E-2</v>
      </c>
      <c r="K217" s="17">
        <f t="shared" si="56"/>
        <v>5.1825108402041714E-2</v>
      </c>
      <c r="L217" s="17">
        <f t="shared" si="56"/>
        <v>6.4042684130560495E-2</v>
      </c>
      <c r="M217" s="17">
        <f t="shared" si="56"/>
        <v>3.902499353198529E-2</v>
      </c>
    </row>
    <row r="218" spans="6:13" x14ac:dyDescent="0.2">
      <c r="F218">
        <v>824</v>
      </c>
      <c r="G218">
        <f t="shared" si="51"/>
        <v>0.82399999999999995</v>
      </c>
      <c r="H218">
        <f t="shared" si="53"/>
        <v>551</v>
      </c>
      <c r="I218" s="17">
        <f t="shared" si="56"/>
        <v>2.9680447802392554E-2</v>
      </c>
      <c r="J218" s="17">
        <f t="shared" si="56"/>
        <v>3.1597975855253861E-2</v>
      </c>
      <c r="K218" s="17">
        <f t="shared" si="56"/>
        <v>5.1841465667542851E-2</v>
      </c>
      <c r="L218" s="17">
        <f t="shared" si="56"/>
        <v>6.4090625856722122E-2</v>
      </c>
      <c r="M218" s="17">
        <f t="shared" si="56"/>
        <v>3.903756437926325E-2</v>
      </c>
    </row>
    <row r="219" spans="6:13" x14ac:dyDescent="0.2">
      <c r="F219">
        <v>825</v>
      </c>
      <c r="G219">
        <f t="shared" si="51"/>
        <v>0.82499999999999996</v>
      </c>
      <c r="H219">
        <f t="shared" si="53"/>
        <v>552</v>
      </c>
      <c r="I219" s="17">
        <f t="shared" si="56"/>
        <v>2.9682847875538879E-2</v>
      </c>
      <c r="J219" s="17">
        <f t="shared" si="56"/>
        <v>3.1604594834362253E-2</v>
      </c>
      <c r="K219" s="17">
        <f t="shared" si="56"/>
        <v>5.1857793068788613E-2</v>
      </c>
      <c r="L219" s="17">
        <f t="shared" si="56"/>
        <v>6.4138520356876783E-2</v>
      </c>
      <c r="M219" s="17">
        <f t="shared" si="56"/>
        <v>3.9050137351979458E-2</v>
      </c>
    </row>
    <row r="220" spans="6:13" x14ac:dyDescent="0.2">
      <c r="F220">
        <v>826</v>
      </c>
      <c r="G220">
        <f t="shared" si="51"/>
        <v>0.82599999999999996</v>
      </c>
      <c r="H220">
        <f t="shared" si="53"/>
        <v>553</v>
      </c>
      <c r="I220" s="17">
        <f t="shared" si="56"/>
        <v>2.9685255034949194E-2</v>
      </c>
      <c r="J220" s="17">
        <f t="shared" si="56"/>
        <v>3.1611210230314629E-2</v>
      </c>
      <c r="K220" s="17">
        <f t="shared" si="56"/>
        <v>5.1874090662075927E-2</v>
      </c>
      <c r="L220" s="17">
        <f t="shared" si="56"/>
        <v>6.4186367623459514E-2</v>
      </c>
      <c r="M220" s="17">
        <f t="shared" si="56"/>
        <v>3.9062712429753205E-2</v>
      </c>
    </row>
    <row r="221" spans="6:13" x14ac:dyDescent="0.2">
      <c r="F221">
        <v>827</v>
      </c>
      <c r="G221">
        <f t="shared" si="51"/>
        <v>0.82699999999999996</v>
      </c>
      <c r="H221">
        <f t="shared" si="53"/>
        <v>554</v>
      </c>
      <c r="I221" s="17">
        <f t="shared" si="56"/>
        <v>2.9687669273913201E-2</v>
      </c>
      <c r="J221" s="17">
        <f t="shared" si="56"/>
        <v>3.1617822018297763E-2</v>
      </c>
      <c r="K221" s="17">
        <f t="shared" si="56"/>
        <v>5.1890358503649744E-2</v>
      </c>
      <c r="L221" s="17">
        <f t="shared" si="56"/>
        <v>6.4234167649163648E-2</v>
      </c>
      <c r="M221" s="17">
        <f t="shared" si="56"/>
        <v>3.9075289592235087E-2</v>
      </c>
    </row>
    <row r="222" spans="6:13" x14ac:dyDescent="0.2">
      <c r="F222">
        <v>828</v>
      </c>
      <c r="G222">
        <f t="shared" si="51"/>
        <v>0.82799999999999996</v>
      </c>
      <c r="H222">
        <f t="shared" si="53"/>
        <v>555</v>
      </c>
      <c r="I222" s="17">
        <f t="shared" si="56"/>
        <v>2.9690090585660713E-2</v>
      </c>
      <c r="J222" s="17">
        <f t="shared" si="56"/>
        <v>3.1624430173697787E-2</v>
      </c>
      <c r="K222" s="17">
        <f t="shared" si="56"/>
        <v>5.1906596649703325E-2</v>
      </c>
      <c r="L222" s="17">
        <f t="shared" si="56"/>
        <v>6.4281920426938796E-2</v>
      </c>
      <c r="M222" s="17">
        <f t="shared" si="56"/>
        <v>3.9087868819106718E-2</v>
      </c>
    </row>
    <row r="223" spans="6:13" x14ac:dyDescent="0.2">
      <c r="F223">
        <v>829</v>
      </c>
      <c r="G223">
        <f t="shared" si="51"/>
        <v>0.82899999999999996</v>
      </c>
      <c r="H223">
        <f t="shared" si="53"/>
        <v>556</v>
      </c>
      <c r="I223" s="17">
        <f t="shared" si="56"/>
        <v>2.9692518963362068E-2</v>
      </c>
      <c r="J223" s="17">
        <f t="shared" si="56"/>
        <v>3.1631034672098733E-2</v>
      </c>
      <c r="K223" s="17">
        <f t="shared" si="56"/>
        <v>5.1922805156378746E-2</v>
      </c>
      <c r="L223" s="17">
        <f t="shared" si="56"/>
        <v>6.4329625949989214E-2</v>
      </c>
      <c r="M223" s="17">
        <f t="shared" si="56"/>
        <v>3.9100450090080521E-2</v>
      </c>
    </row>
    <row r="224" spans="6:13" x14ac:dyDescent="0.2">
      <c r="F224">
        <v>830</v>
      </c>
      <c r="G224">
        <f t="shared" si="51"/>
        <v>0.83</v>
      </c>
      <c r="H224">
        <f t="shared" si="53"/>
        <v>557</v>
      </c>
      <c r="I224" s="17">
        <f t="shared" si="56"/>
        <v>2.9694954400128558E-2</v>
      </c>
      <c r="J224" s="17">
        <f t="shared" si="56"/>
        <v>3.1637635489281106E-2</v>
      </c>
      <c r="K224" s="17">
        <f t="shared" si="56"/>
        <v>5.1938984079767138E-2</v>
      </c>
      <c r="L224" s="17">
        <f t="shared" si="56"/>
        <v>6.437728421177176E-2</v>
      </c>
      <c r="M224" s="17">
        <f t="shared" si="56"/>
        <v>3.9113033384899527E-2</v>
      </c>
    </row>
    <row r="225" spans="6:13" x14ac:dyDescent="0.2">
      <c r="F225">
        <v>831</v>
      </c>
      <c r="G225">
        <f t="shared" si="51"/>
        <v>0.83099999999999996</v>
      </c>
      <c r="H225">
        <f t="shared" si="53"/>
        <v>558</v>
      </c>
      <c r="I225" s="17">
        <f t="shared" si="56"/>
        <v>2.969739688901284E-2</v>
      </c>
      <c r="J225" s="17">
        <f t="shared" si="56"/>
        <v>3.1644232601220498E-2</v>
      </c>
      <c r="K225" s="17">
        <f t="shared" si="56"/>
        <v>5.195513347590916E-2</v>
      </c>
      <c r="L225" s="17">
        <f t="shared" si="56"/>
        <v>6.4424895205994245E-2</v>
      </c>
      <c r="M225" s="17">
        <f t="shared" si="56"/>
        <v>3.9125618683337103E-2</v>
      </c>
    </row>
    <row r="226" spans="6:13" x14ac:dyDescent="0.2">
      <c r="F226">
        <v>832</v>
      </c>
      <c r="G226">
        <f t="shared" si="51"/>
        <v>0.83199999999999996</v>
      </c>
      <c r="H226">
        <f t="shared" si="53"/>
        <v>559</v>
      </c>
      <c r="I226" s="17">
        <f t="shared" si="56"/>
        <v>2.969984642300939E-2</v>
      </c>
      <c r="J226" s="17">
        <f t="shared" si="56"/>
        <v>3.1650825984086098E-2</v>
      </c>
      <c r="K226" s="17">
        <f t="shared" si="56"/>
        <v>5.1971253400795281E-2</v>
      </c>
      <c r="L226" s="17">
        <f t="shared" si="56"/>
        <v>6.4472458926613477E-2</v>
      </c>
      <c r="M226" s="17">
        <f t="shared" si="56"/>
        <v>3.9138205965196772E-2</v>
      </c>
    </row>
    <row r="227" spans="6:13" x14ac:dyDescent="0.2">
      <c r="F227">
        <v>833</v>
      </c>
      <c r="G227">
        <f t="shared" si="51"/>
        <v>0.83299999999999996</v>
      </c>
      <c r="H227">
        <f t="shared" si="53"/>
        <v>560</v>
      </c>
      <c r="I227" s="17">
        <f t="shared" si="56"/>
        <v>2.9702302995054889E-2</v>
      </c>
      <c r="J227" s="17">
        <f t="shared" si="56"/>
        <v>3.1657415614239411E-2</v>
      </c>
      <c r="K227" s="17">
        <f t="shared" si="56"/>
        <v>5.1987343910366232E-2</v>
      </c>
      <c r="L227" s="17">
        <f t="shared" si="56"/>
        <v>6.4519975367833549E-2</v>
      </c>
      <c r="M227" s="17">
        <f t="shared" si="56"/>
        <v>3.9150795210312013E-2</v>
      </c>
    </row>
    <row r="228" spans="6:13" x14ac:dyDescent="0.2">
      <c r="F228">
        <v>834</v>
      </c>
      <c r="G228">
        <f t="shared" si="51"/>
        <v>0.83399999999999996</v>
      </c>
      <c r="H228">
        <f t="shared" si="53"/>
        <v>561</v>
      </c>
      <c r="I228" s="17">
        <f t="shared" si="56"/>
        <v>2.9704766598028686E-2</v>
      </c>
      <c r="J228" s="17">
        <f t="shared" si="56"/>
        <v>3.1664001468232776E-2</v>
      </c>
      <c r="K228" s="17">
        <f t="shared" si="56"/>
        <v>5.2003405060513264E-2</v>
      </c>
      <c r="L228" s="17">
        <f t="shared" si="56"/>
        <v>6.4567444524104095E-2</v>
      </c>
      <c r="M228" s="17">
        <f t="shared" si="56"/>
        <v>3.9163386398545989E-2</v>
      </c>
    </row>
    <row r="229" spans="6:13" x14ac:dyDescent="0.2">
      <c r="F229">
        <v>835</v>
      </c>
      <c r="G229">
        <f t="shared" si="51"/>
        <v>0.83499999999999996</v>
      </c>
      <c r="H229">
        <f t="shared" si="53"/>
        <v>562</v>
      </c>
      <c r="I229" s="17">
        <f t="shared" si="56"/>
        <v>2.9707237224753144E-2</v>
      </c>
      <c r="J229" s="17">
        <f t="shared" si="56"/>
        <v>3.1670583522808049E-2</v>
      </c>
      <c r="K229" s="17">
        <f t="shared" si="56"/>
        <v>5.2019436907078567E-2</v>
      </c>
      <c r="L229" s="17">
        <f t="shared" si="56"/>
        <v>6.4614866390118389E-2</v>
      </c>
      <c r="M229" s="17">
        <f t="shared" si="56"/>
        <v>3.9175979509791389E-2</v>
      </c>
    </row>
    <row r="230" spans="6:13" x14ac:dyDescent="0.2">
      <c r="F230">
        <v>836</v>
      </c>
      <c r="G230">
        <f t="shared" si="51"/>
        <v>0.83599999999999997</v>
      </c>
      <c r="H230">
        <f t="shared" si="53"/>
        <v>563</v>
      </c>
      <c r="I230" s="17">
        <f t="shared" si="56"/>
        <v>2.9709714867994098E-2</v>
      </c>
      <c r="J230" s="17">
        <f t="shared" si="56"/>
        <v>3.1677161754895267E-2</v>
      </c>
      <c r="K230" s="17">
        <f t="shared" si="56"/>
        <v>5.2035439505855575E-2</v>
      </c>
      <c r="L230" s="17">
        <f t="shared" si="56"/>
        <v>6.4662240960811801E-2</v>
      </c>
      <c r="M230" s="17">
        <f t="shared" si="56"/>
        <v>3.918857452397019E-2</v>
      </c>
    </row>
    <row r="231" spans="6:13" x14ac:dyDescent="0.2">
      <c r="F231">
        <v>837</v>
      </c>
      <c r="G231">
        <f t="shared" ref="G231:G294" si="57">F231/1000</f>
        <v>0.83699999999999997</v>
      </c>
      <c r="H231">
        <f t="shared" si="53"/>
        <v>564</v>
      </c>
      <c r="I231" s="17">
        <f t="shared" ref="I231:M246" si="58">(I$159+I$160*$G231+I$161*($G231^2)+I$162*($G231^3)+I$163/($G231^2))/1000</f>
        <v>2.9712199520461238E-2</v>
      </c>
      <c r="J231" s="17">
        <f t="shared" si="58"/>
        <v>3.1683736141611199E-2</v>
      </c>
      <c r="K231" s="17">
        <f t="shared" si="58"/>
        <v>5.2051412912589433E-2</v>
      </c>
      <c r="L231" s="17">
        <f t="shared" si="58"/>
        <v>6.4709568231359829E-2</v>
      </c>
      <c r="M231" s="17">
        <f t="shared" si="58"/>
        <v>3.9201171421033444E-2</v>
      </c>
    </row>
    <row r="232" spans="6:13" x14ac:dyDescent="0.2">
      <c r="F232">
        <v>838</v>
      </c>
      <c r="G232">
        <f t="shared" si="57"/>
        <v>0.83799999999999997</v>
      </c>
      <c r="H232">
        <f t="shared" si="53"/>
        <v>565</v>
      </c>
      <c r="I232" s="17">
        <f t="shared" si="58"/>
        <v>2.9714691174808537E-2</v>
      </c>
      <c r="J232" s="17">
        <f t="shared" si="58"/>
        <v>3.1690306660258134E-2</v>
      </c>
      <c r="K232" s="17">
        <f t="shared" si="58"/>
        <v>5.2067357182977149E-2</v>
      </c>
      <c r="L232" s="17">
        <f t="shared" si="58"/>
        <v>6.4756848197176586E-2</v>
      </c>
      <c r="M232" s="17">
        <f t="shared" si="58"/>
        <v>3.9213770180961068E-2</v>
      </c>
    </row>
    <row r="233" spans="6:13" x14ac:dyDescent="0.2">
      <c r="F233">
        <v>839</v>
      </c>
      <c r="G233">
        <f t="shared" si="57"/>
        <v>0.83899999999999997</v>
      </c>
      <c r="H233">
        <f t="shared" ref="H233:H296" si="59">F233-273</f>
        <v>566</v>
      </c>
      <c r="I233" s="17">
        <f t="shared" si="58"/>
        <v>2.9717189823634613E-2</v>
      </c>
      <c r="J233" s="17">
        <f t="shared" si="58"/>
        <v>3.1696873288322464E-2</v>
      </c>
      <c r="K233" s="17">
        <f t="shared" si="58"/>
        <v>5.2083272372668112E-2</v>
      </c>
      <c r="L233" s="17">
        <f t="shared" si="58"/>
        <v>6.480408085391294E-2</v>
      </c>
      <c r="M233" s="17">
        <f t="shared" si="58"/>
        <v>3.9226370783761656E-2</v>
      </c>
    </row>
    <row r="234" spans="6:13" x14ac:dyDescent="0.2">
      <c r="F234">
        <v>840</v>
      </c>
      <c r="G234">
        <f t="shared" si="57"/>
        <v>0.84</v>
      </c>
      <c r="H234">
        <f t="shared" si="59"/>
        <v>567</v>
      </c>
      <c r="I234" s="17">
        <f t="shared" si="58"/>
        <v>2.9719695459483136E-2</v>
      </c>
      <c r="J234" s="17">
        <f t="shared" si="58"/>
        <v>3.1703436003473411E-2</v>
      </c>
      <c r="K234" s="17">
        <f t="shared" si="58"/>
        <v>5.2099158537264337E-2</v>
      </c>
      <c r="L234" s="17">
        <f t="shared" si="58"/>
        <v>6.4851266197454946E-2</v>
      </c>
      <c r="M234" s="17">
        <f t="shared" si="58"/>
        <v>3.9238973209472283E-2</v>
      </c>
    </row>
    <row r="235" spans="6:13" x14ac:dyDescent="0.2">
      <c r="F235">
        <v>841</v>
      </c>
      <c r="G235">
        <f t="shared" si="57"/>
        <v>0.84099999999999997</v>
      </c>
      <c r="H235">
        <f t="shared" si="59"/>
        <v>568</v>
      </c>
      <c r="I235" s="17">
        <f t="shared" si="58"/>
        <v>2.972220807484325E-2</v>
      </c>
      <c r="J235" s="17">
        <f t="shared" si="58"/>
        <v>3.1709994783561728E-2</v>
      </c>
      <c r="K235" s="17">
        <f t="shared" si="58"/>
        <v>5.2115015732320816E-2</v>
      </c>
      <c r="L235" s="17">
        <f t="shared" si="58"/>
        <v>6.489840422392211E-2</v>
      </c>
      <c r="M235" s="17">
        <f t="shared" si="58"/>
        <v>3.9251577438158256E-2</v>
      </c>
    </row>
    <row r="236" spans="6:13" x14ac:dyDescent="0.2">
      <c r="F236">
        <v>842</v>
      </c>
      <c r="G236">
        <f t="shared" si="57"/>
        <v>0.84199999999999997</v>
      </c>
      <c r="H236">
        <f t="shared" si="59"/>
        <v>569</v>
      </c>
      <c r="I236" s="17">
        <f t="shared" si="58"/>
        <v>2.9724727662149921E-2</v>
      </c>
      <c r="J236" s="17">
        <f t="shared" si="58"/>
        <v>3.1716549606618356E-2</v>
      </c>
      <c r="K236" s="17">
        <f t="shared" si="58"/>
        <v>5.2130844013345917E-2</v>
      </c>
      <c r="L236" s="17">
        <f t="shared" si="58"/>
        <v>6.4945494929665684E-2</v>
      </c>
      <c r="M236" s="17">
        <f t="shared" si="58"/>
        <v>3.9264183449912948E-2</v>
      </c>
    </row>
    <row r="237" spans="6:13" x14ac:dyDescent="0.2">
      <c r="F237">
        <v>843</v>
      </c>
      <c r="G237">
        <f t="shared" si="57"/>
        <v>0.84299999999999997</v>
      </c>
      <c r="H237">
        <f t="shared" si="59"/>
        <v>570</v>
      </c>
      <c r="I237" s="17">
        <f t="shared" si="58"/>
        <v>2.9727254213784325E-2</v>
      </c>
      <c r="J237" s="17">
        <f t="shared" si="58"/>
        <v>3.1723100450853241E-2</v>
      </c>
      <c r="K237" s="17">
        <f t="shared" si="58"/>
        <v>5.214664343580161E-2</v>
      </c>
      <c r="L237" s="17">
        <f t="shared" si="58"/>
        <v>6.499253831126714E-2</v>
      </c>
      <c r="M237" s="17">
        <f t="shared" si="58"/>
        <v>3.9276791224857582E-2</v>
      </c>
    </row>
    <row r="238" spans="6:13" x14ac:dyDescent="0.2">
      <c r="F238">
        <v>844</v>
      </c>
      <c r="G238">
        <f t="shared" si="57"/>
        <v>0.84399999999999997</v>
      </c>
      <c r="H238">
        <f t="shared" si="59"/>
        <v>571</v>
      </c>
      <c r="I238" s="17">
        <f t="shared" si="58"/>
        <v>2.9729787722074255E-2</v>
      </c>
      <c r="J238" s="17">
        <f t="shared" si="58"/>
        <v>3.1729647294653926E-2</v>
      </c>
      <c r="K238" s="17">
        <f t="shared" si="58"/>
        <v>5.2162414055103884E-2</v>
      </c>
      <c r="L238" s="17">
        <f t="shared" si="58"/>
        <v>6.5039534365536389E-2</v>
      </c>
      <c r="M238" s="17">
        <f t="shared" si="58"/>
        <v>3.9289400743141065E-2</v>
      </c>
    </row>
    <row r="239" spans="6:13" x14ac:dyDescent="0.2">
      <c r="F239">
        <v>845</v>
      </c>
      <c r="G239">
        <f t="shared" si="57"/>
        <v>0.84499999999999997</v>
      </c>
      <c r="H239">
        <f t="shared" si="59"/>
        <v>572</v>
      </c>
      <c r="I239" s="17">
        <f t="shared" si="58"/>
        <v>2.9732328179294509E-2</v>
      </c>
      <c r="J239" s="17">
        <f t="shared" si="58"/>
        <v>3.1736190116584434E-2</v>
      </c>
      <c r="K239" s="17">
        <f t="shared" si="58"/>
        <v>5.2178155926623032E-2</v>
      </c>
      <c r="L239" s="17">
        <f t="shared" si="58"/>
        <v>6.5086483089510261E-2</v>
      </c>
      <c r="M239" s="17">
        <f t="shared" si="58"/>
        <v>3.9302011984939746E-2</v>
      </c>
    </row>
    <row r="240" spans="6:13" x14ac:dyDescent="0.2">
      <c r="F240">
        <v>846</v>
      </c>
      <c r="G240">
        <f t="shared" si="57"/>
        <v>0.84599999999999997</v>
      </c>
      <c r="H240">
        <f t="shared" si="59"/>
        <v>573</v>
      </c>
      <c r="I240" s="17">
        <f t="shared" si="58"/>
        <v>2.9734875577667207E-2</v>
      </c>
      <c r="J240" s="17">
        <f t="shared" si="58"/>
        <v>3.1742728895383897E-2</v>
      </c>
      <c r="K240" s="17">
        <f t="shared" si="58"/>
        <v>5.2193869105683986E-2</v>
      </c>
      <c r="L240" s="17">
        <f t="shared" si="58"/>
        <v>6.5133384480450876E-2</v>
      </c>
      <c r="M240" s="17">
        <f t="shared" si="58"/>
        <v>3.9314624930457266E-2</v>
      </c>
    </row>
    <row r="241" spans="6:13" x14ac:dyDescent="0.2">
      <c r="F241">
        <v>847</v>
      </c>
      <c r="G241">
        <f t="shared" si="57"/>
        <v>0.84699999999999998</v>
      </c>
      <c r="H241">
        <f t="shared" si="59"/>
        <v>574</v>
      </c>
      <c r="I241" s="17">
        <f t="shared" si="58"/>
        <v>2.9737429909362231E-2</v>
      </c>
      <c r="J241" s="17">
        <f t="shared" si="58"/>
        <v>3.174926360996539E-2</v>
      </c>
      <c r="K241" s="17">
        <f t="shared" si="58"/>
        <v>5.2209553647566638E-2</v>
      </c>
      <c r="L241" s="17">
        <f t="shared" si="58"/>
        <v>6.5180238535844023E-2</v>
      </c>
      <c r="M241" s="17">
        <f t="shared" si="58"/>
        <v>3.9327239559924301E-2</v>
      </c>
    </row>
    <row r="242" spans="6:13" x14ac:dyDescent="0.2">
      <c r="F242">
        <v>848</v>
      </c>
      <c r="G242">
        <f t="shared" si="57"/>
        <v>0.84799999999999998</v>
      </c>
      <c r="H242">
        <f t="shared" si="59"/>
        <v>575</v>
      </c>
      <c r="I242" s="17">
        <f t="shared" si="58"/>
        <v>2.9739991166497542E-2</v>
      </c>
      <c r="J242" s="17">
        <f t="shared" si="58"/>
        <v>3.1755794239414707E-2</v>
      </c>
      <c r="K242" s="17">
        <f t="shared" si="58"/>
        <v>5.2225209607506144E-2</v>
      </c>
      <c r="L242" s="17">
        <f t="shared" si="58"/>
        <v>6.5227045253397578E-2</v>
      </c>
      <c r="M242" s="17">
        <f t="shared" si="58"/>
        <v>3.9339855853598477E-2</v>
      </c>
    </row>
    <row r="243" spans="6:13" x14ac:dyDescent="0.2">
      <c r="F243">
        <v>849</v>
      </c>
      <c r="G243">
        <f t="shared" si="57"/>
        <v>0.84899999999999998</v>
      </c>
      <c r="H243">
        <f t="shared" si="59"/>
        <v>576</v>
      </c>
      <c r="I243" s="17">
        <f t="shared" si="58"/>
        <v>2.9742559341139584E-2</v>
      </c>
      <c r="J243" s="17">
        <f t="shared" si="58"/>
        <v>3.1762320762989044E-2</v>
      </c>
      <c r="K243" s="17">
        <f t="shared" si="58"/>
        <v>5.2240837040693267E-2</v>
      </c>
      <c r="L243" s="17">
        <f t="shared" si="58"/>
        <v>6.5273804631039989E-2</v>
      </c>
      <c r="M243" s="17">
        <f t="shared" si="58"/>
        <v>3.9352473791764056E-2</v>
      </c>
    </row>
    <row r="244" spans="6:13" x14ac:dyDescent="0.2">
      <c r="F244">
        <v>850</v>
      </c>
      <c r="G244">
        <f t="shared" si="57"/>
        <v>0.85</v>
      </c>
      <c r="H244">
        <f t="shared" si="59"/>
        <v>577</v>
      </c>
      <c r="I244" s="17">
        <f t="shared" si="58"/>
        <v>2.9745134425303632E-2</v>
      </c>
      <c r="J244" s="17">
        <f t="shared" si="58"/>
        <v>3.1768843160115919E-2</v>
      </c>
      <c r="K244" s="17">
        <f t="shared" si="58"/>
        <v>5.2256436002274663E-2</v>
      </c>
      <c r="L244" s="17">
        <f t="shared" si="58"/>
        <v>6.5320516666918682E-2</v>
      </c>
      <c r="M244" s="17">
        <f t="shared" si="58"/>
        <v>3.9365093354731831E-2</v>
      </c>
    </row>
    <row r="245" spans="6:13" x14ac:dyDescent="0.2">
      <c r="F245">
        <v>851</v>
      </c>
      <c r="G245">
        <f t="shared" si="57"/>
        <v>0.85099999999999998</v>
      </c>
      <c r="H245">
        <f t="shared" si="59"/>
        <v>578</v>
      </c>
      <c r="I245" s="17">
        <f t="shared" si="58"/>
        <v>2.974771641095415E-2</v>
      </c>
      <c r="J245" s="17">
        <f t="shared" si="58"/>
        <v>3.1775361410391875E-2</v>
      </c>
      <c r="K245" s="17">
        <f t="shared" si="58"/>
        <v>5.2272006547353207E-2</v>
      </c>
      <c r="L245" s="17">
        <f t="shared" si="58"/>
        <v>6.5367181359398466E-2</v>
      </c>
      <c r="M245" s="17">
        <f t="shared" si="58"/>
        <v>3.9377714522838919E-2</v>
      </c>
    </row>
    <row r="246" spans="6:13" x14ac:dyDescent="0.2">
      <c r="F246">
        <v>852</v>
      </c>
      <c r="G246">
        <f t="shared" si="57"/>
        <v>0.85199999999999998</v>
      </c>
      <c r="H246">
        <f t="shared" si="59"/>
        <v>579</v>
      </c>
      <c r="I246" s="17">
        <f t="shared" si="58"/>
        <v>2.975030529000516E-2</v>
      </c>
      <c r="J246" s="17">
        <f t="shared" si="58"/>
        <v>3.1781875493581364E-2</v>
      </c>
      <c r="K246" s="17">
        <f t="shared" si="58"/>
        <v>5.2287548730988322E-2</v>
      </c>
      <c r="L246" s="17">
        <f t="shared" si="58"/>
        <v>6.5413798707060142E-2</v>
      </c>
      <c r="M246" s="17">
        <f t="shared" si="58"/>
        <v>3.9390337276448563E-2</v>
      </c>
    </row>
    <row r="247" spans="6:13" x14ac:dyDescent="0.2">
      <c r="F247">
        <v>853</v>
      </c>
      <c r="G247">
        <f t="shared" si="57"/>
        <v>0.85299999999999998</v>
      </c>
      <c r="H247">
        <f t="shared" si="59"/>
        <v>580</v>
      </c>
      <c r="I247" s="17">
        <f t="shared" ref="I247:M262" si="60">(I$159+I$160*$G247+I$161*($G247^2)+I$162*($G247^3)+I$163/($G247^2))/1000</f>
        <v>2.9752901054320564E-2</v>
      </c>
      <c r="J247" s="17">
        <f t="shared" si="60"/>
        <v>3.1788385389615488E-2</v>
      </c>
      <c r="K247" s="17">
        <f t="shared" si="60"/>
        <v>5.2303062608196227E-2</v>
      </c>
      <c r="L247" s="17">
        <f t="shared" si="60"/>
        <v>6.5460368708698771E-2</v>
      </c>
      <c r="M247" s="17">
        <f t="shared" si="60"/>
        <v>3.940296159594997E-2</v>
      </c>
    </row>
    <row r="248" spans="6:13" x14ac:dyDescent="0.2">
      <c r="F248">
        <v>854</v>
      </c>
      <c r="G248">
        <f t="shared" si="57"/>
        <v>0.85399999999999998</v>
      </c>
      <c r="H248">
        <f t="shared" si="59"/>
        <v>581</v>
      </c>
      <c r="I248" s="17">
        <f t="shared" si="60"/>
        <v>2.9755503695714551E-2</v>
      </c>
      <c r="J248" s="17">
        <f t="shared" si="60"/>
        <v>3.1794891078590889E-2</v>
      </c>
      <c r="K248" s="17">
        <f t="shared" si="60"/>
        <v>5.231854823395031E-2</v>
      </c>
      <c r="L248" s="17">
        <f t="shared" si="60"/>
        <v>6.5506891363322439E-2</v>
      </c>
      <c r="M248" s="17">
        <f t="shared" si="60"/>
        <v>3.9415587461758085E-2</v>
      </c>
    </row>
    <row r="249" spans="6:13" x14ac:dyDescent="0.2">
      <c r="F249">
        <v>855</v>
      </c>
      <c r="G249">
        <f t="shared" si="57"/>
        <v>0.85499999999999998</v>
      </c>
      <c r="H249">
        <f t="shared" si="59"/>
        <v>582</v>
      </c>
      <c r="I249" s="17">
        <f t="shared" si="60"/>
        <v>2.9758113205951908E-2</v>
      </c>
      <c r="J249" s="17">
        <f t="shared" si="60"/>
        <v>3.1801392540768594E-2</v>
      </c>
      <c r="K249" s="17">
        <f t="shared" si="60"/>
        <v>5.2334005663181353E-2</v>
      </c>
      <c r="L249" s="17">
        <f t="shared" si="60"/>
        <v>6.555336667015052E-2</v>
      </c>
      <c r="M249" s="17">
        <f t="shared" si="60"/>
        <v>3.9428214854313484E-2</v>
      </c>
    </row>
    <row r="250" spans="6:13" x14ac:dyDescent="0.2">
      <c r="F250">
        <v>856</v>
      </c>
      <c r="G250">
        <f t="shared" si="57"/>
        <v>0.85599999999999998</v>
      </c>
      <c r="H250">
        <f t="shared" si="59"/>
        <v>583</v>
      </c>
      <c r="I250" s="17">
        <f t="shared" si="60"/>
        <v>2.9760729576748357E-2</v>
      </c>
      <c r="J250" s="17">
        <f t="shared" si="60"/>
        <v>3.1807889756572783E-2</v>
      </c>
      <c r="K250" s="17">
        <f t="shared" si="60"/>
        <v>5.2349434950777901E-2</v>
      </c>
      <c r="L250" s="17">
        <f t="shared" si="60"/>
        <v>6.5599794628612346E-2</v>
      </c>
      <c r="M250" s="17">
        <f t="shared" si="60"/>
        <v>3.9440843754082119E-2</v>
      </c>
    </row>
    <row r="251" spans="6:13" x14ac:dyDescent="0.2">
      <c r="F251">
        <v>857</v>
      </c>
      <c r="G251">
        <f t="shared" si="57"/>
        <v>0.85699999999999998</v>
      </c>
      <c r="H251">
        <f t="shared" si="59"/>
        <v>584</v>
      </c>
      <c r="I251" s="17">
        <f t="shared" si="60"/>
        <v>2.9763352799770926E-2</v>
      </c>
      <c r="J251" s="17">
        <f t="shared" si="60"/>
        <v>3.1814382706589754E-2</v>
      </c>
      <c r="K251" s="17">
        <f t="shared" si="60"/>
        <v>5.2364836151586498E-2</v>
      </c>
      <c r="L251" s="17">
        <f t="shared" si="60"/>
        <v>6.5646175238345664E-2</v>
      </c>
      <c r="M251" s="17">
        <f t="shared" si="60"/>
        <v>3.9453474141555207E-2</v>
      </c>
    </row>
    <row r="252" spans="6:13" x14ac:dyDescent="0.2">
      <c r="F252">
        <v>858</v>
      </c>
      <c r="G252">
        <f t="shared" si="57"/>
        <v>0.85799999999999998</v>
      </c>
      <c r="H252">
        <f t="shared" si="59"/>
        <v>585</v>
      </c>
      <c r="I252" s="17">
        <f t="shared" si="60"/>
        <v>2.9765982866638282E-2</v>
      </c>
      <c r="J252" s="17">
        <f t="shared" si="60"/>
        <v>3.1820871371566715E-2</v>
      </c>
      <c r="K252" s="17">
        <f t="shared" si="60"/>
        <v>5.2380209320412041E-2</v>
      </c>
      <c r="L252" s="17">
        <f t="shared" si="60"/>
        <v>6.5692508499195237E-2</v>
      </c>
      <c r="M252" s="17">
        <f t="shared" si="60"/>
        <v>3.9466105997248951E-2</v>
      </c>
    </row>
    <row r="253" spans="6:13" x14ac:dyDescent="0.2">
      <c r="F253">
        <v>859</v>
      </c>
      <c r="G253">
        <f t="shared" si="57"/>
        <v>0.85899999999999999</v>
      </c>
      <c r="H253">
        <f t="shared" si="59"/>
        <v>586</v>
      </c>
      <c r="I253" s="17">
        <f t="shared" si="60"/>
        <v>2.9768619768921065E-2</v>
      </c>
      <c r="J253" s="17">
        <f t="shared" si="60"/>
        <v>3.1827355732410682E-2</v>
      </c>
      <c r="K253" s="17">
        <f t="shared" si="60"/>
        <v>5.2395554512018022E-2</v>
      </c>
      <c r="L253" s="17">
        <f t="shared" si="60"/>
        <v>6.5738794411211318E-2</v>
      </c>
      <c r="M253" s="17">
        <f t="shared" si="60"/>
        <v>3.9478739301704542E-2</v>
      </c>
    </row>
    <row r="254" spans="6:13" x14ac:dyDescent="0.2">
      <c r="F254">
        <v>860</v>
      </c>
      <c r="G254">
        <f t="shared" si="57"/>
        <v>0.86</v>
      </c>
      <c r="H254">
        <f t="shared" si="59"/>
        <v>587</v>
      </c>
      <c r="I254" s="17">
        <f t="shared" si="60"/>
        <v>2.9771263498142211E-2</v>
      </c>
      <c r="J254" s="17">
        <f t="shared" si="60"/>
        <v>3.1833835770187398E-2</v>
      </c>
      <c r="K254" s="17">
        <f t="shared" si="60"/>
        <v>5.2410871781126848E-2</v>
      </c>
      <c r="L254" s="17">
        <f t="shared" si="60"/>
        <v>6.5785032974648272E-2</v>
      </c>
      <c r="M254" s="17">
        <f t="shared" si="60"/>
        <v>3.9491374035487768E-2</v>
      </c>
    </row>
    <row r="255" spans="6:13" x14ac:dyDescent="0.2">
      <c r="F255">
        <v>861</v>
      </c>
      <c r="G255">
        <f t="shared" si="57"/>
        <v>0.86099999999999999</v>
      </c>
      <c r="H255">
        <f t="shared" si="59"/>
        <v>588</v>
      </c>
      <c r="I255" s="17">
        <f t="shared" si="60"/>
        <v>2.9773914045777304E-2</v>
      </c>
      <c r="J255" s="17">
        <f t="shared" si="60"/>
        <v>3.1840311466120146E-2</v>
      </c>
      <c r="K255" s="17">
        <f t="shared" si="60"/>
        <v>5.2426161182420092E-2</v>
      </c>
      <c r="L255" s="17">
        <f t="shared" si="60"/>
        <v>6.5831224189963206E-2</v>
      </c>
      <c r="M255" s="17">
        <f t="shared" si="60"/>
        <v>3.9504010179189024E-2</v>
      </c>
    </row>
    <row r="256" spans="6:13" x14ac:dyDescent="0.2">
      <c r="F256">
        <v>862</v>
      </c>
      <c r="G256">
        <f t="shared" si="57"/>
        <v>0.86199999999999999</v>
      </c>
      <c r="H256">
        <f t="shared" si="59"/>
        <v>589</v>
      </c>
      <c r="I256" s="17">
        <f t="shared" si="60"/>
        <v>2.9776571403254896E-2</v>
      </c>
      <c r="J256" s="17">
        <f t="shared" si="60"/>
        <v>3.1846782801588751E-2</v>
      </c>
      <c r="K256" s="17">
        <f t="shared" si="60"/>
        <v>5.2441422770538808E-2</v>
      </c>
      <c r="L256" s="17">
        <f t="shared" si="60"/>
        <v>6.5877368057814467E-2</v>
      </c>
      <c r="M256" s="17">
        <f t="shared" si="60"/>
        <v>3.9516647713423024E-2</v>
      </c>
    </row>
    <row r="257" spans="6:13" x14ac:dyDescent="0.2">
      <c r="F257">
        <v>863</v>
      </c>
      <c r="G257">
        <f t="shared" si="57"/>
        <v>0.86299999999999999</v>
      </c>
      <c r="H257">
        <f t="shared" si="59"/>
        <v>590</v>
      </c>
      <c r="I257" s="17">
        <f t="shared" si="60"/>
        <v>2.9779235561956833E-2</v>
      </c>
      <c r="J257" s="17">
        <f t="shared" si="60"/>
        <v>3.1853249758128407E-2</v>
      </c>
      <c r="K257" s="17">
        <f t="shared" si="60"/>
        <v>5.2456656600083792E-2</v>
      </c>
      <c r="L257" s="17">
        <f t="shared" si="60"/>
        <v>6.5923464579060204E-2</v>
      </c>
      <c r="M257" s="17">
        <f t="shared" si="60"/>
        <v>3.9529286618828735E-2</v>
      </c>
    </row>
    <row r="258" spans="6:13" x14ac:dyDescent="0.2">
      <c r="F258">
        <v>864</v>
      </c>
      <c r="G258">
        <f t="shared" si="57"/>
        <v>0.86399999999999999</v>
      </c>
      <c r="H258">
        <f t="shared" si="59"/>
        <v>591</v>
      </c>
      <c r="I258" s="17">
        <f t="shared" si="60"/>
        <v>2.9781906513218593E-2</v>
      </c>
      <c r="J258" s="17">
        <f t="shared" si="60"/>
        <v>3.1859712317428679E-2</v>
      </c>
      <c r="K258" s="17">
        <f t="shared" si="60"/>
        <v>5.2471862725615902E-2</v>
      </c>
      <c r="L258" s="17">
        <f t="shared" si="60"/>
        <v>6.5969513754757167E-2</v>
      </c>
      <c r="M258" s="17">
        <f t="shared" si="60"/>
        <v>3.9541926876069076E-2</v>
      </c>
    </row>
    <row r="259" spans="6:13" x14ac:dyDescent="0.2">
      <c r="F259">
        <v>865</v>
      </c>
      <c r="G259">
        <f t="shared" si="57"/>
        <v>0.86499999999999999</v>
      </c>
      <c r="H259">
        <f t="shared" si="59"/>
        <v>592</v>
      </c>
      <c r="I259" s="17">
        <f t="shared" si="60"/>
        <v>2.9784584248329572E-2</v>
      </c>
      <c r="J259" s="17">
        <f t="shared" si="60"/>
        <v>3.186617046133236E-2</v>
      </c>
      <c r="K259" s="17">
        <f t="shared" si="60"/>
        <v>5.248704120165628E-2</v>
      </c>
      <c r="L259" s="17">
        <f t="shared" si="60"/>
        <v>6.6015515586159174E-2</v>
      </c>
      <c r="M259" s="17">
        <f t="shared" si="60"/>
        <v>3.9554568465830879E-2</v>
      </c>
    </row>
    <row r="260" spans="6:13" x14ac:dyDescent="0.2">
      <c r="F260">
        <v>866</v>
      </c>
      <c r="G260">
        <f t="shared" si="57"/>
        <v>0.86599999999999999</v>
      </c>
      <c r="H260">
        <f t="shared" si="59"/>
        <v>593</v>
      </c>
      <c r="I260" s="17">
        <f t="shared" si="60"/>
        <v>2.978726875853345E-2</v>
      </c>
      <c r="J260" s="17">
        <f t="shared" si="60"/>
        <v>3.1872624171834452E-2</v>
      </c>
      <c r="K260" s="17">
        <f t="shared" si="60"/>
        <v>5.2502192082686666E-2</v>
      </c>
      <c r="L260" s="17">
        <f t="shared" si="60"/>
        <v>6.6061470074715745E-2</v>
      </c>
      <c r="M260" s="17">
        <f t="shared" si="60"/>
        <v>3.9567211368824656E-2</v>
      </c>
    </row>
    <row r="261" spans="6:13" x14ac:dyDescent="0.2">
      <c r="F261">
        <v>867</v>
      </c>
      <c r="G261">
        <f t="shared" si="57"/>
        <v>0.86699999999999999</v>
      </c>
      <c r="H261">
        <f t="shared" si="59"/>
        <v>594</v>
      </c>
      <c r="I261" s="17">
        <f t="shared" si="60"/>
        <v>2.9789960035028464E-2</v>
      </c>
      <c r="J261" s="17">
        <f t="shared" si="60"/>
        <v>3.1879073431081088E-2</v>
      </c>
      <c r="K261" s="17">
        <f t="shared" si="60"/>
        <v>5.2517315423149649E-2</v>
      </c>
      <c r="L261" s="17">
        <f t="shared" si="60"/>
        <v>6.6107377222070871E-2</v>
      </c>
      <c r="M261" s="17">
        <f t="shared" si="60"/>
        <v>3.9579855565784451E-2</v>
      </c>
    </row>
    <row r="262" spans="6:13" x14ac:dyDescent="0.2">
      <c r="F262">
        <v>868</v>
      </c>
      <c r="G262">
        <f t="shared" si="57"/>
        <v>0.86799999999999999</v>
      </c>
      <c r="H262">
        <f t="shared" si="59"/>
        <v>595</v>
      </c>
      <c r="I262" s="17">
        <f t="shared" si="60"/>
        <v>2.9792658068967765E-2</v>
      </c>
      <c r="J262" s="17">
        <f t="shared" si="60"/>
        <v>3.1885518221368529E-2</v>
      </c>
      <c r="K262" s="17">
        <f t="shared" si="60"/>
        <v>5.2532411277448919E-2</v>
      </c>
      <c r="L262" s="17">
        <f t="shared" si="60"/>
        <v>6.6153237030061526E-2</v>
      </c>
      <c r="M262" s="17">
        <f t="shared" si="60"/>
        <v>3.9592501037467649E-2</v>
      </c>
    </row>
    <row r="263" spans="6:13" x14ac:dyDescent="0.2">
      <c r="F263">
        <v>869</v>
      </c>
      <c r="G263">
        <f t="shared" si="57"/>
        <v>0.86899999999999999</v>
      </c>
      <c r="H263">
        <f t="shared" si="59"/>
        <v>596</v>
      </c>
      <c r="I263" s="17">
        <f t="shared" ref="I263:M278" si="61">(I$159+I$160*$G263+I$161*($G263^2)+I$162*($G263^3)+I$163/($G263^2))/1000</f>
        <v>2.9795362851459683E-2</v>
      </c>
      <c r="J263" s="17">
        <f t="shared" si="61"/>
        <v>3.1891958525142081E-2</v>
      </c>
      <c r="K263" s="17">
        <f t="shared" si="61"/>
        <v>5.2547479699949606E-2</v>
      </c>
      <c r="L263" s="17">
        <f t="shared" si="61"/>
        <v>6.619904950071645E-2</v>
      </c>
      <c r="M263" s="17">
        <f t="shared" si="61"/>
        <v>3.9605147764654895E-2</v>
      </c>
    </row>
    <row r="264" spans="6:13" x14ac:dyDescent="0.2">
      <c r="F264">
        <v>870</v>
      </c>
      <c r="G264">
        <f t="shared" si="57"/>
        <v>0.87</v>
      </c>
      <c r="H264">
        <f t="shared" si="59"/>
        <v>597</v>
      </c>
      <c r="I264" s="17">
        <f t="shared" si="61"/>
        <v>2.9798074373568066E-2</v>
      </c>
      <c r="J264" s="17">
        <f t="shared" si="61"/>
        <v>3.1898394324995083E-2</v>
      </c>
      <c r="K264" s="17">
        <f t="shared" si="61"/>
        <v>5.2562520744978476E-2</v>
      </c>
      <c r="L264" s="17">
        <f t="shared" si="61"/>
        <v>6.6244814636254756E-2</v>
      </c>
      <c r="M264" s="17">
        <f t="shared" si="61"/>
        <v>3.9617795728149843E-2</v>
      </c>
    </row>
    <row r="265" spans="6:13" x14ac:dyDescent="0.2">
      <c r="F265">
        <v>871</v>
      </c>
      <c r="G265">
        <f t="shared" si="57"/>
        <v>0.871</v>
      </c>
      <c r="H265">
        <f t="shared" si="59"/>
        <v>598</v>
      </c>
      <c r="I265" s="17">
        <f t="shared" si="61"/>
        <v>2.9800792626312585E-2</v>
      </c>
      <c r="J265" s="17">
        <f t="shared" si="61"/>
        <v>3.1904825603667905E-2</v>
      </c>
      <c r="K265" s="17">
        <f t="shared" si="61"/>
        <v>5.2577534466824227E-2</v>
      </c>
      <c r="L265" s="17">
        <f t="shared" si="61"/>
        <v>6.6290532439084615E-2</v>
      </c>
      <c r="M265" s="17">
        <f t="shared" si="61"/>
        <v>3.9630444908779039E-2</v>
      </c>
    </row>
    <row r="266" spans="6:13" x14ac:dyDescent="0.2">
      <c r="F266">
        <v>872</v>
      </c>
      <c r="G266">
        <f t="shared" si="57"/>
        <v>0.872</v>
      </c>
      <c r="H266">
        <f t="shared" si="59"/>
        <v>599</v>
      </c>
      <c r="I266" s="17">
        <f t="shared" si="61"/>
        <v>2.980351760066904E-2</v>
      </c>
      <c r="J266" s="17">
        <f t="shared" si="61"/>
        <v>3.1911252344046945E-2</v>
      </c>
      <c r="K266" s="17">
        <f t="shared" si="61"/>
        <v>5.2592520919737748E-2</v>
      </c>
      <c r="L266" s="17">
        <f t="shared" si="61"/>
        <v>6.6336202911802047E-2</v>
      </c>
      <c r="M266" s="17">
        <f t="shared" si="61"/>
        <v>3.9643095287391773E-2</v>
      </c>
    </row>
    <row r="267" spans="6:13" x14ac:dyDescent="0.2">
      <c r="F267">
        <v>873</v>
      </c>
      <c r="G267">
        <f t="shared" si="57"/>
        <v>0.873</v>
      </c>
      <c r="H267">
        <f t="shared" si="59"/>
        <v>600</v>
      </c>
      <c r="I267" s="17">
        <f t="shared" si="61"/>
        <v>2.9806249287569621E-2</v>
      </c>
      <c r="J267" s="17">
        <f t="shared" si="61"/>
        <v>3.1917674529163546E-2</v>
      </c>
      <c r="K267" s="17">
        <f t="shared" si="61"/>
        <v>5.2607480157932353E-2</v>
      </c>
      <c r="L267" s="17">
        <f t="shared" si="61"/>
        <v>6.6381826057189522E-2</v>
      </c>
      <c r="M267" s="17">
        <f t="shared" si="61"/>
        <v>3.9655746844859903E-2</v>
      </c>
    </row>
    <row r="268" spans="6:13" x14ac:dyDescent="0.2">
      <c r="F268">
        <v>874</v>
      </c>
      <c r="G268">
        <f t="shared" si="57"/>
        <v>0.874</v>
      </c>
      <c r="H268">
        <f t="shared" si="59"/>
        <v>601</v>
      </c>
      <c r="I268" s="17">
        <f t="shared" si="61"/>
        <v>2.9808987677903274E-2</v>
      </c>
      <c r="J268" s="17">
        <f t="shared" si="61"/>
        <v>3.1924092142193126E-2</v>
      </c>
      <c r="K268" s="17">
        <f t="shared" si="61"/>
        <v>5.2622412235584087E-2</v>
      </c>
      <c r="L268" s="17">
        <f t="shared" si="61"/>
        <v>6.642740187821472E-2</v>
      </c>
      <c r="M268" s="17">
        <f t="shared" si="61"/>
        <v>3.9668399562077711E-2</v>
      </c>
    </row>
    <row r="269" spans="6:13" x14ac:dyDescent="0.2">
      <c r="F269">
        <v>875</v>
      </c>
      <c r="G269">
        <f t="shared" si="57"/>
        <v>0.875</v>
      </c>
      <c r="H269">
        <f t="shared" si="59"/>
        <v>602</v>
      </c>
      <c r="I269" s="17">
        <f t="shared" si="61"/>
        <v>2.9811732762515943E-2</v>
      </c>
      <c r="J269" s="17">
        <f t="shared" si="61"/>
        <v>3.1930505166454085E-2</v>
      </c>
      <c r="K269" s="17">
        <f t="shared" si="61"/>
        <v>5.2637317206831943E-2</v>
      </c>
      <c r="L269" s="17">
        <f t="shared" si="61"/>
        <v>6.6472930378029343E-2</v>
      </c>
      <c r="M269" s="17">
        <f t="shared" si="61"/>
        <v>3.9681053419961726E-2</v>
      </c>
    </row>
    <row r="270" spans="6:13" x14ac:dyDescent="0.2">
      <c r="F270">
        <v>876</v>
      </c>
      <c r="G270">
        <f t="shared" si="57"/>
        <v>0.876</v>
      </c>
      <c r="H270">
        <f t="shared" si="59"/>
        <v>603</v>
      </c>
      <c r="I270" s="17">
        <f t="shared" si="61"/>
        <v>2.9814484532210896E-2</v>
      </c>
      <c r="J270" s="17">
        <f t="shared" si="61"/>
        <v>3.1936913585406873E-2</v>
      </c>
      <c r="K270" s="17">
        <f t="shared" si="61"/>
        <v>5.2652195125778151E-2</v>
      </c>
      <c r="L270" s="17">
        <f t="shared" si="61"/>
        <v>6.6518411559967655E-2</v>
      </c>
      <c r="M270" s="17">
        <f t="shared" si="61"/>
        <v>3.9693708399450627E-2</v>
      </c>
    </row>
    <row r="271" spans="6:13" x14ac:dyDescent="0.2">
      <c r="F271">
        <v>877</v>
      </c>
      <c r="G271">
        <f t="shared" si="57"/>
        <v>0.877</v>
      </c>
      <c r="H271">
        <f t="shared" si="59"/>
        <v>604</v>
      </c>
      <c r="I271" s="17">
        <f t="shared" si="61"/>
        <v>2.981724297774899E-2</v>
      </c>
      <c r="J271" s="17">
        <f t="shared" si="61"/>
        <v>3.1943317382653033E-2</v>
      </c>
      <c r="K271" s="17">
        <f t="shared" si="61"/>
        <v>5.2667046046488336E-2</v>
      </c>
      <c r="L271" s="17">
        <f t="shared" si="61"/>
        <v>6.6563845427545468E-2</v>
      </c>
      <c r="M271" s="17">
        <f t="shared" si="61"/>
        <v>3.9706364481505024E-2</v>
      </c>
    </row>
    <row r="272" spans="6:13" x14ac:dyDescent="0.2">
      <c r="F272">
        <v>878</v>
      </c>
      <c r="G272">
        <f t="shared" si="57"/>
        <v>0.878</v>
      </c>
      <c r="H272">
        <f t="shared" si="59"/>
        <v>605</v>
      </c>
      <c r="I272" s="17">
        <f t="shared" si="61"/>
        <v>2.9820008089848991E-2</v>
      </c>
      <c r="J272" s="17">
        <f t="shared" si="61"/>
        <v>3.1949716541934188E-2</v>
      </c>
      <c r="K272" s="17">
        <f t="shared" si="61"/>
        <v>5.2681870022991933E-2</v>
      </c>
      <c r="L272" s="17">
        <f t="shared" si="61"/>
        <v>6.66092319844587E-2</v>
      </c>
      <c r="M272" s="17">
        <f t="shared" si="61"/>
        <v>3.9719021647107354E-2</v>
      </c>
    </row>
    <row r="273" spans="6:13" x14ac:dyDescent="0.2">
      <c r="F273">
        <v>879</v>
      </c>
      <c r="G273">
        <f t="shared" si="57"/>
        <v>0.879</v>
      </c>
      <c r="H273">
        <f t="shared" si="59"/>
        <v>606</v>
      </c>
      <c r="I273" s="17">
        <f t="shared" si="61"/>
        <v>2.9822779859187833E-2</v>
      </c>
      <c r="J273" s="17">
        <f t="shared" si="61"/>
        <v>3.1956111047131135E-2</v>
      </c>
      <c r="K273" s="17">
        <f t="shared" si="61"/>
        <v>5.2696667109282259E-2</v>
      </c>
      <c r="L273" s="17">
        <f t="shared" si="61"/>
        <v>6.6654571234582349E-2</v>
      </c>
      <c r="M273" s="17">
        <f t="shared" si="61"/>
        <v>3.9731679877261721E-2</v>
      </c>
    </row>
    <row r="274" spans="6:13" x14ac:dyDescent="0.2">
      <c r="F274">
        <v>880</v>
      </c>
      <c r="G274">
        <f t="shared" si="57"/>
        <v>0.88</v>
      </c>
      <c r="H274">
        <f t="shared" si="59"/>
        <v>607</v>
      </c>
      <c r="I274" s="17">
        <f t="shared" si="61"/>
        <v>2.9825558276400925E-2</v>
      </c>
      <c r="J274" s="17">
        <f t="shared" si="61"/>
        <v>3.1962500882262879E-2</v>
      </c>
      <c r="K274" s="17">
        <f t="shared" si="61"/>
        <v>5.2711437359316896E-2</v>
      </c>
      <c r="L274" s="17">
        <f t="shared" si="61"/>
        <v>6.6699863181969063E-2</v>
      </c>
      <c r="M274" s="17">
        <f t="shared" si="61"/>
        <v>3.9744339152993718E-2</v>
      </c>
    </row>
    <row r="275" spans="6:13" x14ac:dyDescent="0.2">
      <c r="F275">
        <v>881</v>
      </c>
      <c r="G275">
        <f t="shared" si="57"/>
        <v>0.88100000000000001</v>
      </c>
      <c r="H275">
        <f t="shared" si="59"/>
        <v>608</v>
      </c>
      <c r="I275" s="17">
        <f t="shared" si="61"/>
        <v>2.9828343332082424E-2</v>
      </c>
      <c r="J275" s="17">
        <f t="shared" si="61"/>
        <v>3.1968886031485663E-2</v>
      </c>
      <c r="K275" s="17">
        <f t="shared" si="61"/>
        <v>5.2726180827017834E-2</v>
      </c>
      <c r="L275" s="17">
        <f t="shared" si="61"/>
        <v>6.6745107830848055E-2</v>
      </c>
      <c r="M275" s="17">
        <f t="shared" si="61"/>
        <v>3.9756999455350349E-2</v>
      </c>
    </row>
    <row r="276" spans="6:13" x14ac:dyDescent="0.2">
      <c r="F276">
        <v>882</v>
      </c>
      <c r="G276">
        <f t="shared" si="57"/>
        <v>0.88200000000000001</v>
      </c>
      <c r="H276">
        <f t="shared" si="59"/>
        <v>609</v>
      </c>
      <c r="I276" s="17">
        <f t="shared" si="61"/>
        <v>2.9831135016785512E-2</v>
      </c>
      <c r="J276" s="17">
        <f t="shared" si="61"/>
        <v>3.1975266479092088E-2</v>
      </c>
      <c r="K276" s="17">
        <f t="shared" si="61"/>
        <v>5.2740897566271781E-2</v>
      </c>
      <c r="L276" s="17">
        <f t="shared" si="61"/>
        <v>6.6790305185623955E-2</v>
      </c>
      <c r="M276" s="17">
        <f t="shared" si="61"/>
        <v>3.9769660765399818E-2</v>
      </c>
    </row>
    <row r="277" spans="6:13" x14ac:dyDescent="0.2">
      <c r="F277">
        <v>883</v>
      </c>
      <c r="G277">
        <f t="shared" si="57"/>
        <v>0.88300000000000001</v>
      </c>
      <c r="H277">
        <f t="shared" si="59"/>
        <v>610</v>
      </c>
      <c r="I277" s="17">
        <f t="shared" si="61"/>
        <v>2.9833933321022681E-2</v>
      </c>
      <c r="J277" s="17">
        <f t="shared" si="61"/>
        <v>3.1981642209510143E-2</v>
      </c>
      <c r="K277" s="17">
        <f t="shared" si="61"/>
        <v>5.2755587630930384E-2</v>
      </c>
      <c r="L277" s="17">
        <f t="shared" si="61"/>
        <v>6.6835455250875447E-2</v>
      </c>
      <c r="M277" s="17">
        <f t="shared" si="61"/>
        <v>3.9782323064231406E-2</v>
      </c>
    </row>
    <row r="278" spans="6:13" x14ac:dyDescent="0.2">
      <c r="F278">
        <v>884</v>
      </c>
      <c r="G278">
        <f t="shared" si="57"/>
        <v>0.88400000000000001</v>
      </c>
      <c r="H278">
        <f t="shared" si="59"/>
        <v>611</v>
      </c>
      <c r="I278" s="17">
        <f t="shared" si="61"/>
        <v>2.9836738235265996E-2</v>
      </c>
      <c r="J278" s="17">
        <f t="shared" si="61"/>
        <v>3.1988013207302324E-2</v>
      </c>
      <c r="K278" s="17">
        <f t="shared" si="61"/>
        <v>5.2770251074810419E-2</v>
      </c>
      <c r="L278" s="17">
        <f t="shared" si="61"/>
        <v>6.688055803135419E-2</v>
      </c>
      <c r="M278" s="17">
        <f t="shared" si="61"/>
        <v>3.9794986332955348E-2</v>
      </c>
    </row>
    <row r="279" spans="6:13" x14ac:dyDescent="0.2">
      <c r="F279">
        <v>885</v>
      </c>
      <c r="G279">
        <f t="shared" si="57"/>
        <v>0.88500000000000001</v>
      </c>
      <c r="H279">
        <f t="shared" si="59"/>
        <v>612</v>
      </c>
      <c r="I279" s="17">
        <f t="shared" ref="I279:M294" si="62">(I$159+I$160*$G279+I$161*($G279^2)+I$162*($G279^3)+I$163/($G279^2))/1000</f>
        <v>2.9839549749947406E-2</v>
      </c>
      <c r="J279" s="17">
        <f t="shared" si="62"/>
        <v>3.1994379457164671E-2</v>
      </c>
      <c r="K279" s="17">
        <f t="shared" si="62"/>
        <v>5.2784887951694129E-2</v>
      </c>
      <c r="L279" s="17">
        <f t="shared" si="62"/>
        <v>6.6925613531983674E-2</v>
      </c>
      <c r="M279" s="17">
        <f t="shared" si="62"/>
        <v>3.9807650552702661E-2</v>
      </c>
    </row>
    <row r="280" spans="6:13" x14ac:dyDescent="0.2">
      <c r="F280">
        <v>886</v>
      </c>
      <c r="G280">
        <f t="shared" si="57"/>
        <v>0.88600000000000001</v>
      </c>
      <c r="H280">
        <f t="shared" si="59"/>
        <v>613</v>
      </c>
      <c r="I280" s="17">
        <f t="shared" si="62"/>
        <v>2.9842367855458948E-2</v>
      </c>
      <c r="J280" s="17">
        <f t="shared" si="62"/>
        <v>3.200074094392593E-2</v>
      </c>
      <c r="K280" s="17">
        <f t="shared" si="62"/>
        <v>5.279949831532936E-2</v>
      </c>
      <c r="L280" s="17">
        <f t="shared" si="62"/>
        <v>6.6970621757858007E-2</v>
      </c>
      <c r="M280" s="17">
        <f t="shared" si="62"/>
        <v>3.9820315704625027E-2</v>
      </c>
    </row>
    <row r="281" spans="6:13" x14ac:dyDescent="0.2">
      <c r="F281">
        <v>887</v>
      </c>
      <c r="G281">
        <f t="shared" si="57"/>
        <v>0.88700000000000001</v>
      </c>
      <c r="H281">
        <f t="shared" si="59"/>
        <v>614</v>
      </c>
      <c r="I281" s="17">
        <f t="shared" si="62"/>
        <v>2.9845192542153093E-2</v>
      </c>
      <c r="J281" s="17">
        <f t="shared" si="62"/>
        <v>3.2007097652546598E-2</v>
      </c>
      <c r="K281" s="17">
        <f t="shared" si="62"/>
        <v>5.2814082219429827E-2</v>
      </c>
      <c r="L281" s="17">
        <f t="shared" si="62"/>
        <v>6.7015582714240823E-2</v>
      </c>
      <c r="M281" s="17">
        <f t="shared" si="62"/>
        <v>3.9832981769894638E-2</v>
      </c>
    </row>
    <row r="282" spans="6:13" x14ac:dyDescent="0.2">
      <c r="F282">
        <v>888</v>
      </c>
      <c r="G282">
        <f t="shared" si="57"/>
        <v>0.88800000000000001</v>
      </c>
      <c r="H282">
        <f t="shared" si="59"/>
        <v>615</v>
      </c>
      <c r="I282" s="17">
        <f t="shared" si="62"/>
        <v>2.984802380034296E-2</v>
      </c>
      <c r="J282" s="17">
        <f t="shared" si="62"/>
        <v>3.2013449568118066E-2</v>
      </c>
      <c r="K282" s="17">
        <f t="shared" si="62"/>
        <v>5.2828639717675367E-2</v>
      </c>
      <c r="L282" s="17">
        <f t="shared" si="62"/>
        <v>6.7060496406564002E-2</v>
      </c>
      <c r="M282" s="17">
        <f t="shared" si="62"/>
        <v>3.9845648729704058E-2</v>
      </c>
    </row>
    <row r="283" spans="6:13" x14ac:dyDescent="0.2">
      <c r="F283">
        <v>889</v>
      </c>
      <c r="G283">
        <f t="shared" si="57"/>
        <v>0.88900000000000001</v>
      </c>
      <c r="H283">
        <f t="shared" si="59"/>
        <v>616</v>
      </c>
      <c r="I283" s="17">
        <f t="shared" si="62"/>
        <v>2.9850861620302614E-2</v>
      </c>
      <c r="J283" s="17">
        <f t="shared" si="62"/>
        <v>3.2019796675861724E-2</v>
      </c>
      <c r="K283" s="17">
        <f t="shared" si="62"/>
        <v>5.2843170863712131E-2</v>
      </c>
      <c r="L283" s="17">
        <f t="shared" si="62"/>
        <v>6.7105362840426688E-2</v>
      </c>
      <c r="M283" s="17">
        <f t="shared" si="62"/>
        <v>3.9858316565266096E-2</v>
      </c>
    </row>
    <row r="284" spans="6:13" x14ac:dyDescent="0.2">
      <c r="F284">
        <v>890</v>
      </c>
      <c r="G284">
        <f t="shared" si="57"/>
        <v>0.89</v>
      </c>
      <c r="H284">
        <f t="shared" si="59"/>
        <v>617</v>
      </c>
      <c r="I284" s="17">
        <f t="shared" si="62"/>
        <v>2.9853705992267287E-2</v>
      </c>
      <c r="J284" s="17">
        <f t="shared" si="62"/>
        <v>3.2026138961128076E-2</v>
      </c>
      <c r="K284" s="17">
        <f t="shared" si="62"/>
        <v>5.2857675711152866E-2</v>
      </c>
      <c r="L284" s="17">
        <f t="shared" si="62"/>
        <v>6.715018202159409E-2</v>
      </c>
      <c r="M284" s="17">
        <f t="shared" si="62"/>
        <v>3.9870985257813657E-2</v>
      </c>
    </row>
    <row r="285" spans="6:13" x14ac:dyDescent="0.2">
      <c r="F285">
        <v>891</v>
      </c>
      <c r="G285">
        <f t="shared" si="57"/>
        <v>0.89100000000000001</v>
      </c>
      <c r="H285">
        <f t="shared" si="59"/>
        <v>618</v>
      </c>
      <c r="I285" s="17">
        <f t="shared" si="62"/>
        <v>2.9856556906433698E-2</v>
      </c>
      <c r="J285" s="17">
        <f t="shared" si="62"/>
        <v>3.203247640939591E-2</v>
      </c>
      <c r="K285" s="17">
        <f t="shared" si="62"/>
        <v>5.2872154313577044E-2</v>
      </c>
      <c r="L285" s="17">
        <f t="shared" si="62"/>
        <v>6.7194953955996353E-2</v>
      </c>
      <c r="M285" s="17">
        <f t="shared" si="62"/>
        <v>3.9883654788599628E-2</v>
      </c>
    </row>
    <row r="286" spans="6:13" x14ac:dyDescent="0.2">
      <c r="F286">
        <v>892</v>
      </c>
      <c r="G286">
        <f t="shared" si="57"/>
        <v>0.89200000000000002</v>
      </c>
      <c r="H286">
        <f t="shared" si="59"/>
        <v>619</v>
      </c>
      <c r="I286" s="17">
        <f t="shared" si="62"/>
        <v>2.9859414352960252E-2</v>
      </c>
      <c r="J286" s="17">
        <f t="shared" si="62"/>
        <v>3.2038809006271395E-2</v>
      </c>
      <c r="K286" s="17">
        <f t="shared" si="62"/>
        <v>5.2886606724531188E-2</v>
      </c>
      <c r="L286" s="17">
        <f t="shared" si="62"/>
        <v>6.7239678649727463E-2</v>
      </c>
      <c r="M286" s="17">
        <f t="shared" si="62"/>
        <v>3.9896325138896724E-2</v>
      </c>
    </row>
    <row r="287" spans="6:13" x14ac:dyDescent="0.2">
      <c r="F287">
        <v>893</v>
      </c>
      <c r="G287">
        <f t="shared" si="57"/>
        <v>0.89300000000000002</v>
      </c>
      <c r="H287">
        <f t="shared" si="59"/>
        <v>620</v>
      </c>
      <c r="I287" s="17">
        <f t="shared" si="62"/>
        <v>2.9862278321967358E-2</v>
      </c>
      <c r="J287" s="17">
        <f t="shared" si="62"/>
        <v>3.2045136737487212E-2</v>
      </c>
      <c r="K287" s="17">
        <f t="shared" si="62"/>
        <v>5.2901032997529053E-2</v>
      </c>
      <c r="L287" s="17">
        <f t="shared" si="62"/>
        <v>6.7284356109044194E-2</v>
      </c>
      <c r="M287" s="17">
        <f t="shared" si="62"/>
        <v>3.9908996289997348E-2</v>
      </c>
    </row>
    <row r="288" spans="6:13" x14ac:dyDescent="0.2">
      <c r="F288">
        <v>894</v>
      </c>
      <c r="G288">
        <f t="shared" si="57"/>
        <v>0.89400000000000002</v>
      </c>
      <c r="H288">
        <f t="shared" si="59"/>
        <v>621</v>
      </c>
      <c r="I288" s="17">
        <f t="shared" si="62"/>
        <v>2.9865148803537626E-2</v>
      </c>
      <c r="J288" s="17">
        <f t="shared" si="62"/>
        <v>3.20514595889018E-2</v>
      </c>
      <c r="K288" s="17">
        <f t="shared" si="62"/>
        <v>5.2915433186051811E-2</v>
      </c>
      <c r="L288" s="17">
        <f t="shared" si="62"/>
        <v>6.7328986340364938E-2</v>
      </c>
      <c r="M288" s="17">
        <f t="shared" si="62"/>
        <v>3.9921668223213462E-2</v>
      </c>
    </row>
    <row r="289" spans="6:13" x14ac:dyDescent="0.2">
      <c r="F289">
        <v>895</v>
      </c>
      <c r="G289">
        <f t="shared" si="57"/>
        <v>0.89500000000000002</v>
      </c>
      <c r="H289">
        <f t="shared" si="59"/>
        <v>622</v>
      </c>
      <c r="I289" s="17">
        <f t="shared" si="62"/>
        <v>2.9868025787716135E-2</v>
      </c>
      <c r="J289" s="17">
        <f t="shared" si="62"/>
        <v>3.2057777546498363E-2</v>
      </c>
      <c r="K289" s="17">
        <f t="shared" si="62"/>
        <v>5.2929807343548338E-2</v>
      </c>
      <c r="L289" s="17">
        <f t="shared" si="62"/>
        <v>6.7373569350268642E-2</v>
      </c>
      <c r="M289" s="17">
        <f t="shared" si="62"/>
        <v>3.9934340919876521E-2</v>
      </c>
    </row>
    <row r="290" spans="6:13" x14ac:dyDescent="0.2">
      <c r="F290">
        <v>896</v>
      </c>
      <c r="G290">
        <f t="shared" si="57"/>
        <v>0.89600000000000002</v>
      </c>
      <c r="H290">
        <f t="shared" si="59"/>
        <v>623</v>
      </c>
      <c r="I290" s="17">
        <f t="shared" si="62"/>
        <v>2.9870909264510737E-2</v>
      </c>
      <c r="J290" s="17">
        <f t="shared" si="62"/>
        <v>3.2064090596384175E-2</v>
      </c>
      <c r="K290" s="17">
        <f t="shared" si="62"/>
        <v>5.2944155523435364E-2</v>
      </c>
      <c r="L290" s="17">
        <f t="shared" si="62"/>
        <v>6.7418105145493804E-2</v>
      </c>
      <c r="M290" s="17">
        <f t="shared" si="62"/>
        <v>3.9947014361337234E-2</v>
      </c>
    </row>
    <row r="291" spans="6:13" x14ac:dyDescent="0.2">
      <c r="F291">
        <v>897</v>
      </c>
      <c r="G291">
        <f t="shared" si="57"/>
        <v>0.89700000000000002</v>
      </c>
      <c r="H291">
        <f t="shared" si="59"/>
        <v>624</v>
      </c>
      <c r="I291" s="17">
        <f t="shared" si="62"/>
        <v>2.9873799223892238E-2</v>
      </c>
      <c r="J291" s="17">
        <f t="shared" si="62"/>
        <v>3.2070398724789687E-2</v>
      </c>
      <c r="K291" s="17">
        <f t="shared" si="62"/>
        <v>5.2958477779097714E-2</v>
      </c>
      <c r="L291" s="17">
        <f t="shared" si="62"/>
        <v>6.7462593732937323E-2</v>
      </c>
      <c r="M291" s="17">
        <f t="shared" si="62"/>
        <v>3.9959688528965469E-2</v>
      </c>
    </row>
    <row r="292" spans="6:13" x14ac:dyDescent="0.2">
      <c r="F292">
        <v>898</v>
      </c>
      <c r="G292">
        <f t="shared" si="57"/>
        <v>0.89800000000000002</v>
      </c>
      <c r="H292">
        <f t="shared" si="59"/>
        <v>625</v>
      </c>
      <c r="I292" s="17">
        <f t="shared" si="62"/>
        <v>2.9876695655794663E-2</v>
      </c>
      <c r="J292" s="17">
        <f t="shared" si="62"/>
        <v>3.2076701918067677E-2</v>
      </c>
      <c r="K292" s="17">
        <f t="shared" si="62"/>
        <v>5.2972774163888556E-2</v>
      </c>
      <c r="L292" s="17">
        <f t="shared" si="62"/>
        <v>6.7507035119653461E-2</v>
      </c>
      <c r="M292" s="17">
        <f t="shared" si="62"/>
        <v>3.9972363404150231E-2</v>
      </c>
    </row>
    <row r="293" spans="6:13" x14ac:dyDescent="0.2">
      <c r="F293">
        <v>899</v>
      </c>
      <c r="G293">
        <f t="shared" si="57"/>
        <v>0.89900000000000002</v>
      </c>
      <c r="H293">
        <f t="shared" si="59"/>
        <v>626</v>
      </c>
      <c r="I293" s="17">
        <f t="shared" si="62"/>
        <v>2.9879598550115523E-2</v>
      </c>
      <c r="J293" s="17">
        <f t="shared" si="62"/>
        <v>3.2083000162692513E-2</v>
      </c>
      <c r="K293" s="17">
        <f t="shared" si="62"/>
        <v>5.298704473112955E-2</v>
      </c>
      <c r="L293" s="17">
        <f t="shared" si="62"/>
        <v>6.7551429312852809E-2</v>
      </c>
      <c r="M293" s="17">
        <f t="shared" si="62"/>
        <v>3.9985038968299344E-2</v>
      </c>
    </row>
    <row r="294" spans="6:13" x14ac:dyDescent="0.2">
      <c r="F294">
        <v>900</v>
      </c>
      <c r="G294">
        <f t="shared" si="57"/>
        <v>0.9</v>
      </c>
      <c r="H294">
        <f t="shared" si="59"/>
        <v>627</v>
      </c>
      <c r="I294" s="17">
        <f t="shared" si="62"/>
        <v>2.9882507896716044E-2</v>
      </c>
      <c r="J294" s="17">
        <f t="shared" si="62"/>
        <v>3.2089293445259258E-2</v>
      </c>
      <c r="K294" s="17">
        <f t="shared" si="62"/>
        <v>5.3001289534111116E-2</v>
      </c>
      <c r="L294" s="17">
        <f t="shared" si="62"/>
        <v>6.7595776319901227E-2</v>
      </c>
      <c r="M294" s="17">
        <f t="shared" si="62"/>
        <v>3.9997715202839498E-2</v>
      </c>
    </row>
    <row r="295" spans="6:13" x14ac:dyDescent="0.2">
      <c r="F295">
        <v>901</v>
      </c>
      <c r="G295">
        <f t="shared" ref="G295:G358" si="63">F295/1000</f>
        <v>0.90100000000000002</v>
      </c>
      <c r="H295">
        <f t="shared" si="59"/>
        <v>628</v>
      </c>
      <c r="I295" s="17">
        <f t="shared" ref="I295:M310" si="64">(I$159+I$160*$G295+I$161*($G295^2)+I$162*($G295^3)+I$163/($G295^2))/1000</f>
        <v>2.9885423685421419E-2</v>
      </c>
      <c r="J295" s="17">
        <f t="shared" si="64"/>
        <v>3.2095581752482942E-2</v>
      </c>
      <c r="K295" s="17">
        <f t="shared" si="64"/>
        <v>5.3015508626092583E-2</v>
      </c>
      <c r="L295" s="17">
        <f t="shared" si="64"/>
        <v>6.7640076148318878E-2</v>
      </c>
      <c r="M295" s="17">
        <f t="shared" si="64"/>
        <v>4.001039208921605E-2</v>
      </c>
    </row>
    <row r="296" spans="6:13" x14ac:dyDescent="0.2">
      <c r="F296">
        <v>902</v>
      </c>
      <c r="G296">
        <f t="shared" si="63"/>
        <v>0.90200000000000002</v>
      </c>
      <c r="H296">
        <f t="shared" si="59"/>
        <v>629</v>
      </c>
      <c r="I296" s="17">
        <f t="shared" si="64"/>
        <v>2.9888345906021012E-2</v>
      </c>
      <c r="J296" s="17">
        <f t="shared" si="64"/>
        <v>3.2101865071197694E-2</v>
      </c>
      <c r="K296" s="17">
        <f t="shared" si="64"/>
        <v>5.3029702060302442E-2</v>
      </c>
      <c r="L296" s="17">
        <f t="shared" si="64"/>
        <v>6.7684328805779098E-2</v>
      </c>
      <c r="M296" s="17">
        <f t="shared" si="64"/>
        <v>4.0023069608892854E-2</v>
      </c>
    </row>
    <row r="297" spans="6:13" x14ac:dyDescent="0.2">
      <c r="F297">
        <v>903</v>
      </c>
      <c r="G297">
        <f t="shared" si="63"/>
        <v>0.90300000000000002</v>
      </c>
      <c r="H297">
        <f t="shared" ref="H297:H360" si="65">F297-273</f>
        <v>630</v>
      </c>
      <c r="I297" s="17">
        <f t="shared" si="64"/>
        <v>2.9891274548268645E-2</v>
      </c>
      <c r="J297" s="17">
        <f t="shared" si="64"/>
        <v>3.2108143388356006E-2</v>
      </c>
      <c r="K297" s="17">
        <f t="shared" si="64"/>
        <v>5.3043869889938526E-2</v>
      </c>
      <c r="L297" s="17">
        <f t="shared" si="64"/>
        <v>6.7728534300107418E-2</v>
      </c>
      <c r="M297" s="17">
        <f t="shared" si="64"/>
        <v>4.0035747743352251E-2</v>
      </c>
    </row>
    <row r="298" spans="6:13" x14ac:dyDescent="0.2">
      <c r="F298">
        <v>904</v>
      </c>
      <c r="G298">
        <f t="shared" si="63"/>
        <v>0.90400000000000003</v>
      </c>
      <c r="H298">
        <f t="shared" si="65"/>
        <v>631</v>
      </c>
      <c r="I298" s="17">
        <f t="shared" si="64"/>
        <v>2.9894209601882788E-2</v>
      </c>
      <c r="J298" s="17">
        <f t="shared" si="64"/>
        <v>3.2114416691027943E-2</v>
      </c>
      <c r="K298" s="17">
        <f t="shared" si="64"/>
        <v>5.3058012168168245E-2</v>
      </c>
      <c r="L298" s="17">
        <f t="shared" si="64"/>
        <v>6.7772692639280568E-2</v>
      </c>
      <c r="M298" s="17">
        <f t="shared" si="64"/>
        <v>4.0048426474094831E-2</v>
      </c>
    </row>
    <row r="299" spans="6:13" x14ac:dyDescent="0.2">
      <c r="F299">
        <v>905</v>
      </c>
      <c r="G299">
        <f t="shared" si="63"/>
        <v>0.90500000000000003</v>
      </c>
      <c r="H299">
        <f t="shared" si="65"/>
        <v>632</v>
      </c>
      <c r="I299" s="17">
        <f t="shared" si="64"/>
        <v>2.9897151056546858E-2</v>
      </c>
      <c r="J299" s="17">
        <f t="shared" si="64"/>
        <v>3.2120684966400304E-2</v>
      </c>
      <c r="K299" s="17">
        <f t="shared" si="64"/>
        <v>5.3072128948128766E-2</v>
      </c>
      <c r="L299" s="17">
        <f t="shared" si="64"/>
        <v>6.7816803831425521E-2</v>
      </c>
      <c r="M299" s="17">
        <f t="shared" si="64"/>
        <v>4.0061105782639418E-2</v>
      </c>
    </row>
    <row r="300" spans="6:13" x14ac:dyDescent="0.2">
      <c r="F300">
        <v>906</v>
      </c>
      <c r="G300">
        <f t="shared" si="63"/>
        <v>0.90600000000000003</v>
      </c>
      <c r="H300">
        <f t="shared" si="65"/>
        <v>633</v>
      </c>
      <c r="I300" s="17">
        <f t="shared" si="64"/>
        <v>2.9900098901909353E-2</v>
      </c>
      <c r="J300" s="17">
        <f t="shared" si="64"/>
        <v>3.2126948201775946E-2</v>
      </c>
      <c r="K300" s="17">
        <f t="shared" si="64"/>
        <v>5.3086220282927185E-2</v>
      </c>
      <c r="L300" s="17">
        <f t="shared" si="64"/>
        <v>6.786086788481839E-2</v>
      </c>
      <c r="M300" s="17">
        <f t="shared" si="64"/>
        <v>4.0073785650522845E-2</v>
      </c>
    </row>
    <row r="301" spans="6:13" x14ac:dyDescent="0.2">
      <c r="F301">
        <v>907</v>
      </c>
      <c r="G301">
        <f t="shared" si="63"/>
        <v>0.90700000000000003</v>
      </c>
      <c r="H301">
        <f t="shared" si="65"/>
        <v>634</v>
      </c>
      <c r="I301" s="17">
        <f t="shared" si="64"/>
        <v>2.9903053127584182E-2</v>
      </c>
      <c r="J301" s="17">
        <f t="shared" si="64"/>
        <v>3.2133206384572913E-2</v>
      </c>
      <c r="K301" s="17">
        <f t="shared" si="64"/>
        <v>5.3100286225640753E-2</v>
      </c>
      <c r="L301" s="17">
        <f t="shared" si="64"/>
        <v>6.7904884807883537E-2</v>
      </c>
      <c r="M301" s="17">
        <f t="shared" si="64"/>
        <v>4.0086466059299899E-2</v>
      </c>
    </row>
    <row r="302" spans="6:13" x14ac:dyDescent="0.2">
      <c r="F302">
        <v>908</v>
      </c>
      <c r="G302">
        <f t="shared" si="63"/>
        <v>0.90800000000000003</v>
      </c>
      <c r="H302">
        <f t="shared" si="65"/>
        <v>635</v>
      </c>
      <c r="I302" s="17">
        <f t="shared" si="64"/>
        <v>2.9906013723150847E-2</v>
      </c>
      <c r="J302" s="17">
        <f t="shared" si="64"/>
        <v>3.2139459502323782E-2</v>
      </c>
      <c r="K302" s="17">
        <f t="shared" si="64"/>
        <v>5.3114326829317104E-2</v>
      </c>
      <c r="L302" s="17">
        <f t="shared" si="64"/>
        <v>6.7948854609192547E-2</v>
      </c>
      <c r="M302" s="17">
        <f t="shared" si="64"/>
        <v>4.0099146990543226E-2</v>
      </c>
    </row>
    <row r="303" spans="6:13" x14ac:dyDescent="0.2">
      <c r="F303">
        <v>909</v>
      </c>
      <c r="G303">
        <f t="shared" si="63"/>
        <v>0.90900000000000003</v>
      </c>
      <c r="H303">
        <f t="shared" si="65"/>
        <v>636</v>
      </c>
      <c r="I303" s="17">
        <f t="shared" si="64"/>
        <v>2.9908980678154631E-2</v>
      </c>
      <c r="J303" s="17">
        <f t="shared" si="64"/>
        <v>3.2145707542674803E-2</v>
      </c>
      <c r="K303" s="17">
        <f t="shared" si="64"/>
        <v>5.3128342146974414E-2</v>
      </c>
      <c r="L303" s="17">
        <f t="shared" si="64"/>
        <v>6.7992777297463267E-2</v>
      </c>
      <c r="M303" s="17">
        <f t="shared" si="64"/>
        <v>4.011182842584312E-2</v>
      </c>
    </row>
    <row r="304" spans="6:13" x14ac:dyDescent="0.2">
      <c r="F304">
        <v>910</v>
      </c>
      <c r="G304">
        <f t="shared" si="63"/>
        <v>0.91</v>
      </c>
      <c r="H304">
        <f t="shared" si="65"/>
        <v>637</v>
      </c>
      <c r="I304" s="17">
        <f t="shared" si="64"/>
        <v>2.9911953982106922E-2</v>
      </c>
      <c r="J304" s="17">
        <f t="shared" si="64"/>
        <v>3.2151950493385227E-2</v>
      </c>
      <c r="K304" s="17">
        <f t="shared" si="64"/>
        <v>5.3142332231601572E-2</v>
      </c>
      <c r="L304" s="17">
        <f t="shared" si="64"/>
        <v>6.8036652881558815E-2</v>
      </c>
      <c r="M304" s="17">
        <f t="shared" si="64"/>
        <v>4.0124510346807515E-2</v>
      </c>
    </row>
    <row r="305" spans="6:13" x14ac:dyDescent="0.2">
      <c r="F305">
        <v>911</v>
      </c>
      <c r="G305">
        <f t="shared" si="63"/>
        <v>0.91100000000000003</v>
      </c>
      <c r="H305">
        <f t="shared" si="65"/>
        <v>638</v>
      </c>
      <c r="I305" s="17">
        <f t="shared" si="64"/>
        <v>2.9914933624485354E-2</v>
      </c>
      <c r="J305" s="17">
        <f t="shared" si="64"/>
        <v>3.2158188342326532E-2</v>
      </c>
      <c r="K305" s="17">
        <f t="shared" si="64"/>
        <v>5.3156297136158437E-2</v>
      </c>
      <c r="L305" s="17">
        <f t="shared" si="64"/>
        <v>6.8080481370486695E-2</v>
      </c>
      <c r="M305" s="17">
        <f t="shared" si="64"/>
        <v>4.013719273506177E-2</v>
      </c>
    </row>
    <row r="306" spans="6:13" x14ac:dyDescent="0.2">
      <c r="F306">
        <v>912</v>
      </c>
      <c r="G306">
        <f t="shared" si="63"/>
        <v>0.91200000000000003</v>
      </c>
      <c r="H306">
        <f t="shared" si="65"/>
        <v>639</v>
      </c>
      <c r="I306" s="17">
        <f t="shared" si="64"/>
        <v>2.9917919594734037E-2</v>
      </c>
      <c r="J306" s="17">
        <f t="shared" si="64"/>
        <v>3.2164421077481666E-2</v>
      </c>
      <c r="K306" s="17">
        <f t="shared" si="64"/>
        <v>5.3170236913575954E-2</v>
      </c>
      <c r="L306" s="17">
        <f t="shared" si="64"/>
        <v>6.8124262773397767E-2</v>
      </c>
      <c r="M306" s="17">
        <f t="shared" si="64"/>
        <v>4.0149875572248646E-2</v>
      </c>
    </row>
    <row r="307" spans="6:13" x14ac:dyDescent="0.2">
      <c r="F307">
        <v>913</v>
      </c>
      <c r="G307">
        <f t="shared" si="63"/>
        <v>0.91300000000000003</v>
      </c>
      <c r="H307">
        <f t="shared" si="65"/>
        <v>640</v>
      </c>
      <c r="I307" s="17">
        <f t="shared" si="64"/>
        <v>2.9920911882263833E-2</v>
      </c>
      <c r="J307" s="17">
        <f t="shared" si="64"/>
        <v>3.2170648686944373E-2</v>
      </c>
      <c r="K307" s="17">
        <f t="shared" si="64"/>
        <v>5.318415161675643E-2</v>
      </c>
      <c r="L307" s="17">
        <f t="shared" si="64"/>
        <v>6.816799709958539E-2</v>
      </c>
      <c r="M307" s="17">
        <f t="shared" si="64"/>
        <v>4.0162558840028131E-2</v>
      </c>
    </row>
    <row r="308" spans="6:13" x14ac:dyDescent="0.2">
      <c r="F308">
        <v>914</v>
      </c>
      <c r="G308">
        <f t="shared" si="63"/>
        <v>0.91400000000000003</v>
      </c>
      <c r="H308">
        <f t="shared" si="65"/>
        <v>641</v>
      </c>
      <c r="I308" s="17">
        <f t="shared" si="64"/>
        <v>2.9923910476452504E-2</v>
      </c>
      <c r="J308" s="17">
        <f t="shared" si="64"/>
        <v>3.2176871158918395E-2</v>
      </c>
      <c r="K308" s="17">
        <f t="shared" si="64"/>
        <v>5.3198041298573667E-2</v>
      </c>
      <c r="L308" s="17">
        <f t="shared" si="64"/>
        <v>6.8211684358484403E-2</v>
      </c>
      <c r="M308" s="17">
        <f t="shared" si="64"/>
        <v>4.0175242520077335E-2</v>
      </c>
    </row>
    <row r="309" spans="6:13" x14ac:dyDescent="0.2">
      <c r="F309">
        <v>915</v>
      </c>
      <c r="G309">
        <f t="shared" si="63"/>
        <v>0.91500000000000004</v>
      </c>
      <c r="H309">
        <f t="shared" si="65"/>
        <v>642</v>
      </c>
      <c r="I309" s="17">
        <f t="shared" si="64"/>
        <v>2.9926915366644991E-2</v>
      </c>
      <c r="J309" s="17">
        <f t="shared" si="64"/>
        <v>3.2183088481716818E-2</v>
      </c>
      <c r="K309" s="17">
        <f t="shared" si="64"/>
        <v>5.3211906011873117E-2</v>
      </c>
      <c r="L309" s="17">
        <f t="shared" si="64"/>
        <v>6.8255324559670247E-2</v>
      </c>
      <c r="M309" s="17">
        <f t="shared" si="64"/>
        <v>4.0187926594090359E-2</v>
      </c>
    </row>
    <row r="310" spans="6:13" x14ac:dyDescent="0.2">
      <c r="F310">
        <v>916</v>
      </c>
      <c r="G310">
        <f t="shared" si="63"/>
        <v>0.91600000000000004</v>
      </c>
      <c r="H310">
        <f t="shared" si="65"/>
        <v>643</v>
      </c>
      <c r="I310" s="17">
        <f t="shared" si="64"/>
        <v>2.9929926542153564E-2</v>
      </c>
      <c r="J310" s="17">
        <f t="shared" si="64"/>
        <v>3.2189300643761291E-2</v>
      </c>
      <c r="K310" s="17">
        <f t="shared" si="64"/>
        <v>5.3225745809472161E-2</v>
      </c>
      <c r="L310" s="17">
        <f t="shared" si="64"/>
        <v>6.8298917712858009E-2</v>
      </c>
      <c r="M310" s="17">
        <f t="shared" si="64"/>
        <v>4.0200611043778284E-2</v>
      </c>
    </row>
    <row r="311" spans="6:13" x14ac:dyDescent="0.2">
      <c r="F311">
        <v>917</v>
      </c>
      <c r="G311">
        <f t="shared" si="63"/>
        <v>0.91700000000000004</v>
      </c>
      <c r="H311">
        <f t="shared" si="65"/>
        <v>644</v>
      </c>
      <c r="I311" s="17">
        <f t="shared" ref="I311:M326" si="66">(I$159+I$160*$G311+I$161*($G311^2)+I$162*($G311^3)+I$163/($G311^2))/1000</f>
        <v>2.9932943992258088E-2</v>
      </c>
      <c r="J311" s="17">
        <f t="shared" si="66"/>
        <v>3.2195507633581366E-2</v>
      </c>
      <c r="K311" s="17">
        <f t="shared" si="66"/>
        <v>5.3239560744160183E-2</v>
      </c>
      <c r="L311" s="17">
        <f t="shared" si="66"/>
        <v>6.8342463827901545E-2</v>
      </c>
      <c r="M311" s="17">
        <f t="shared" si="66"/>
        <v>4.0213295850868913E-2</v>
      </c>
    </row>
    <row r="312" spans="6:13" x14ac:dyDescent="0.2">
      <c r="F312">
        <v>918</v>
      </c>
      <c r="G312">
        <f t="shared" si="63"/>
        <v>0.91800000000000004</v>
      </c>
      <c r="H312">
        <f t="shared" si="65"/>
        <v>645</v>
      </c>
      <c r="I312" s="17">
        <f t="shared" si="66"/>
        <v>2.9935967706206233E-2</v>
      </c>
      <c r="J312" s="17">
        <f t="shared" si="66"/>
        <v>3.2201709439813792E-2</v>
      </c>
      <c r="K312" s="17">
        <f t="shared" si="66"/>
        <v>5.3253350868698861E-2</v>
      </c>
      <c r="L312" s="17">
        <f t="shared" si="66"/>
        <v>6.838596291479257E-2</v>
      </c>
      <c r="M312" s="17">
        <f t="shared" si="66"/>
        <v>4.0225980997106794E-2</v>
      </c>
    </row>
    <row r="313" spans="6:13" x14ac:dyDescent="0.2">
      <c r="F313">
        <v>919</v>
      </c>
      <c r="G313">
        <f t="shared" si="63"/>
        <v>0.91900000000000004</v>
      </c>
      <c r="H313">
        <f t="shared" si="65"/>
        <v>646</v>
      </c>
      <c r="I313" s="17">
        <f t="shared" si="66"/>
        <v>2.9938997673213643E-2</v>
      </c>
      <c r="J313" s="17">
        <f t="shared" si="66"/>
        <v>3.2207906051201746E-2</v>
      </c>
      <c r="K313" s="17">
        <f t="shared" si="66"/>
        <v>5.3267116235822261E-2</v>
      </c>
      <c r="L313" s="17">
        <f t="shared" si="66"/>
        <v>6.8429414983659786E-2</v>
      </c>
      <c r="M313" s="17">
        <f t="shared" si="66"/>
        <v>4.0238666464253017E-2</v>
      </c>
    </row>
    <row r="314" spans="6:13" x14ac:dyDescent="0.2">
      <c r="F314">
        <v>920</v>
      </c>
      <c r="G314">
        <f t="shared" si="63"/>
        <v>0.92</v>
      </c>
      <c r="H314">
        <f t="shared" si="65"/>
        <v>647</v>
      </c>
      <c r="I314" s="17">
        <f t="shared" si="66"/>
        <v>2.9942033882464181E-2</v>
      </c>
      <c r="J314" s="17">
        <f t="shared" si="66"/>
        <v>3.2214097456594266E-2</v>
      </c>
      <c r="K314" s="17">
        <f t="shared" si="66"/>
        <v>5.328085689823709E-2</v>
      </c>
      <c r="L314" s="17">
        <f t="shared" si="66"/>
        <v>6.8472820044767818E-2</v>
      </c>
      <c r="M314" s="17">
        <f t="shared" si="66"/>
        <v>4.0251352234085137E-2</v>
      </c>
    </row>
    <row r="315" spans="6:13" x14ac:dyDescent="0.2">
      <c r="F315">
        <v>921</v>
      </c>
      <c r="G315">
        <f t="shared" si="63"/>
        <v>0.92100000000000004</v>
      </c>
      <c r="H315">
        <f t="shared" si="65"/>
        <v>648</v>
      </c>
      <c r="I315" s="17">
        <f t="shared" si="66"/>
        <v>2.994507632311013E-2</v>
      </c>
      <c r="J315" s="17">
        <f t="shared" si="66"/>
        <v>3.2220283644945433E-2</v>
      </c>
      <c r="K315" s="17">
        <f t="shared" si="66"/>
        <v>5.3294572908622807E-2</v>
      </c>
      <c r="L315" s="17">
        <f t="shared" si="66"/>
        <v>6.8516178108516623E-2</v>
      </c>
      <c r="M315" s="17">
        <f t="shared" si="66"/>
        <v>4.0264038288397107E-2</v>
      </c>
    </row>
    <row r="316" spans="6:13" x14ac:dyDescent="0.2">
      <c r="F316">
        <v>922</v>
      </c>
      <c r="G316">
        <f t="shared" si="63"/>
        <v>0.92200000000000004</v>
      </c>
      <c r="H316">
        <f t="shared" si="65"/>
        <v>649</v>
      </c>
      <c r="I316" s="17">
        <f t="shared" si="66"/>
        <v>2.9948124984272375E-2</v>
      </c>
      <c r="J316" s="17">
        <f t="shared" si="66"/>
        <v>3.2226464605313754E-2</v>
      </c>
      <c r="K316" s="17">
        <f t="shared" si="66"/>
        <v>5.3308264319631815E-2</v>
      </c>
      <c r="L316" s="17">
        <f t="shared" si="66"/>
        <v>6.8559489185440373E-2</v>
      </c>
      <c r="M316" s="17">
        <f t="shared" si="66"/>
        <v>4.0276724608999094E-2</v>
      </c>
    </row>
    <row r="317" spans="6:13" x14ac:dyDescent="0.2">
      <c r="F317">
        <v>923</v>
      </c>
      <c r="G317">
        <f t="shared" si="63"/>
        <v>0.92300000000000004</v>
      </c>
      <c r="H317">
        <f t="shared" si="65"/>
        <v>650</v>
      </c>
      <c r="I317" s="17">
        <f t="shared" si="66"/>
        <v>2.9951179855040658E-2</v>
      </c>
      <c r="J317" s="17">
        <f t="shared" si="66"/>
        <v>3.223264032686151E-2</v>
      </c>
      <c r="K317" s="17">
        <f t="shared" si="66"/>
        <v>5.3321931183889698E-2</v>
      </c>
      <c r="L317" s="17">
        <f t="shared" si="66"/>
        <v>6.860275328620663E-2</v>
      </c>
      <c r="M317" s="17">
        <f t="shared" si="66"/>
        <v>4.0289411177717442E-2</v>
      </c>
    </row>
    <row r="318" spans="6:13" x14ac:dyDescent="0.2">
      <c r="F318">
        <v>924</v>
      </c>
      <c r="G318">
        <f t="shared" si="63"/>
        <v>0.92400000000000004</v>
      </c>
      <c r="H318">
        <f t="shared" si="65"/>
        <v>651</v>
      </c>
      <c r="I318" s="17">
        <f t="shared" si="66"/>
        <v>2.9954240924473702E-2</v>
      </c>
      <c r="J318" s="17">
        <f t="shared" si="66"/>
        <v>3.2238810798853962E-2</v>
      </c>
      <c r="K318" s="17">
        <f t="shared" si="66"/>
        <v>5.3335573553995291E-2</v>
      </c>
      <c r="L318" s="17">
        <f t="shared" si="66"/>
        <v>6.8645970421615576E-2</v>
      </c>
      <c r="M318" s="17">
        <f t="shared" si="66"/>
        <v>4.0302097976394544E-2</v>
      </c>
    </row>
    <row r="319" spans="6:13" x14ac:dyDescent="0.2">
      <c r="F319">
        <v>925</v>
      </c>
      <c r="G319">
        <f t="shared" si="63"/>
        <v>0.92500000000000004</v>
      </c>
      <c r="H319">
        <f t="shared" si="65"/>
        <v>652</v>
      </c>
      <c r="I319" s="17">
        <f t="shared" si="66"/>
        <v>2.9957308181599505E-2</v>
      </c>
      <c r="J319" s="17">
        <f t="shared" si="66"/>
        <v>3.2244976010658871E-2</v>
      </c>
      <c r="K319" s="17">
        <f t="shared" si="66"/>
        <v>5.3349191482520986E-2</v>
      </c>
      <c r="L319" s="17">
        <f t="shared" si="66"/>
        <v>6.8689140602599022E-2</v>
      </c>
      <c r="M319" s="17">
        <f t="shared" si="66"/>
        <v>4.0314784986888695E-2</v>
      </c>
    </row>
    <row r="320" spans="6:13" x14ac:dyDescent="0.2">
      <c r="F320">
        <v>926</v>
      </c>
      <c r="G320">
        <f t="shared" si="63"/>
        <v>0.92600000000000005</v>
      </c>
      <c r="H320">
        <f t="shared" si="65"/>
        <v>653</v>
      </c>
      <c r="I320" s="17">
        <f t="shared" si="66"/>
        <v>2.9960381615415456E-2</v>
      </c>
      <c r="J320" s="17">
        <f t="shared" si="66"/>
        <v>3.2251135951745662E-2</v>
      </c>
      <c r="K320" s="17">
        <f t="shared" si="66"/>
        <v>5.3362785022012756E-2</v>
      </c>
      <c r="L320" s="17">
        <f t="shared" si="66"/>
        <v>6.8732263840219701E-2</v>
      </c>
      <c r="M320" s="17">
        <f t="shared" si="66"/>
        <v>4.0327472191074083E-2</v>
      </c>
    </row>
    <row r="321" spans="6:13" x14ac:dyDescent="0.2">
      <c r="F321">
        <v>927</v>
      </c>
      <c r="G321">
        <f t="shared" si="63"/>
        <v>0.92700000000000005</v>
      </c>
      <c r="H321">
        <f t="shared" si="65"/>
        <v>654</v>
      </c>
      <c r="I321" s="17">
        <f t="shared" si="66"/>
        <v>2.9963461214888597E-2</v>
      </c>
      <c r="J321" s="17">
        <f t="shared" si="66"/>
        <v>3.2257290611684836E-2</v>
      </c>
      <c r="K321" s="17">
        <f t="shared" si="66"/>
        <v>5.3376354224990444E-2</v>
      </c>
      <c r="L321" s="17">
        <f t="shared" si="66"/>
        <v>6.877534014567023E-2</v>
      </c>
      <c r="M321" s="17">
        <f t="shared" si="66"/>
        <v>4.0340159570840591E-2</v>
      </c>
    </row>
    <row r="322" spans="6:13" x14ac:dyDescent="0.2">
      <c r="F322">
        <v>928</v>
      </c>
      <c r="G322">
        <f t="shared" si="63"/>
        <v>0.92800000000000005</v>
      </c>
      <c r="H322">
        <f t="shared" si="65"/>
        <v>655</v>
      </c>
      <c r="I322" s="17">
        <f t="shared" si="66"/>
        <v>2.9966546968955766E-2</v>
      </c>
      <c r="J322" s="17">
        <f t="shared" si="66"/>
        <v>3.2263439980147364E-2</v>
      </c>
      <c r="K322" s="17">
        <f t="shared" si="66"/>
        <v>5.3389899143947837E-2</v>
      </c>
      <c r="L322" s="17">
        <f t="shared" si="66"/>
        <v>6.8818369530272525E-2</v>
      </c>
      <c r="M322" s="17">
        <f t="shared" si="66"/>
        <v>4.0352847108093746E-2</v>
      </c>
    </row>
    <row r="323" spans="6:13" x14ac:dyDescent="0.2">
      <c r="F323">
        <v>929</v>
      </c>
      <c r="G323">
        <f t="shared" si="63"/>
        <v>0.92900000000000005</v>
      </c>
      <c r="H323">
        <f t="shared" si="65"/>
        <v>656</v>
      </c>
      <c r="I323" s="17">
        <f t="shared" si="66"/>
        <v>2.9969638866523842E-2</v>
      </c>
      <c r="J323" s="17">
        <f t="shared" si="66"/>
        <v>3.2269584046903908E-2</v>
      </c>
      <c r="K323" s="17">
        <f t="shared" si="66"/>
        <v>5.3403419831352952E-2</v>
      </c>
      <c r="L323" s="17">
        <f t="shared" si="66"/>
        <v>6.8861352005476675E-2</v>
      </c>
      <c r="M323" s="17">
        <f t="shared" si="66"/>
        <v>4.0365534784754631E-2</v>
      </c>
    </row>
    <row r="324" spans="6:13" x14ac:dyDescent="0.2">
      <c r="F324">
        <v>930</v>
      </c>
      <c r="G324">
        <f t="shared" si="63"/>
        <v>0.93</v>
      </c>
      <c r="H324">
        <f t="shared" si="65"/>
        <v>657</v>
      </c>
      <c r="I324" s="17">
        <f t="shared" si="66"/>
        <v>2.997273689646987E-2</v>
      </c>
      <c r="J324" s="17">
        <f t="shared" si="66"/>
        <v>3.227572280182435E-2</v>
      </c>
      <c r="K324" s="17">
        <f t="shared" si="66"/>
        <v>5.3416916339648075E-2</v>
      </c>
      <c r="L324" s="17">
        <f t="shared" si="66"/>
        <v>6.8904287582860352E-2</v>
      </c>
      <c r="M324" s="17">
        <f t="shared" si="66"/>
        <v>4.0378222582759721E-2</v>
      </c>
    </row>
    <row r="325" spans="6:13" x14ac:dyDescent="0.2">
      <c r="F325">
        <v>931</v>
      </c>
      <c r="G325">
        <f t="shared" si="63"/>
        <v>0.93100000000000005</v>
      </c>
      <c r="H325">
        <f t="shared" si="65"/>
        <v>658</v>
      </c>
      <c r="I325" s="17">
        <f t="shared" si="66"/>
        <v>2.9975841047641349E-2</v>
      </c>
      <c r="J325" s="17">
        <f t="shared" si="66"/>
        <v>3.2281856234876997E-2</v>
      </c>
      <c r="K325" s="17">
        <f t="shared" si="66"/>
        <v>5.3430388721250013E-2</v>
      </c>
      <c r="L325" s="17">
        <f t="shared" si="66"/>
        <v>6.8947176274127858E-2</v>
      </c>
      <c r="M325" s="17">
        <f t="shared" si="66"/>
        <v>4.0390910484060863E-2</v>
      </c>
    </row>
    <row r="326" spans="6:13" x14ac:dyDescent="0.2">
      <c r="F326">
        <v>932</v>
      </c>
      <c r="G326">
        <f t="shared" si="63"/>
        <v>0.93200000000000005</v>
      </c>
      <c r="H326">
        <f t="shared" si="65"/>
        <v>659</v>
      </c>
      <c r="I326" s="17">
        <f t="shared" si="66"/>
        <v>2.9978951308856337E-2</v>
      </c>
      <c r="J326" s="17">
        <f t="shared" si="66"/>
        <v>3.2287984336128048E-2</v>
      </c>
      <c r="K326" s="17">
        <f t="shared" si="66"/>
        <v>5.3443837028550226E-2</v>
      </c>
      <c r="L326" s="17">
        <f t="shared" si="66"/>
        <v>6.899001809110944E-2</v>
      </c>
      <c r="M326" s="17">
        <f t="shared" si="66"/>
        <v>4.0403598470625114E-2</v>
      </c>
    </row>
    <row r="327" spans="6:13" x14ac:dyDescent="0.2">
      <c r="F327">
        <v>933</v>
      </c>
      <c r="G327">
        <f t="shared" si="63"/>
        <v>0.93300000000000005</v>
      </c>
      <c r="H327">
        <f t="shared" si="65"/>
        <v>660</v>
      </c>
      <c r="I327" s="17">
        <f t="shared" ref="I327:M342" si="67">(I$159+I$160*$G327+I$161*($G327^2)+I$162*($G327^3)+I$163/($G327^2))/1000</f>
        <v>2.9982067668903673E-2</v>
      </c>
      <c r="J327" s="17">
        <f t="shared" si="67"/>
        <v>3.2294107095740911E-2</v>
      </c>
      <c r="K327" s="17">
        <f t="shared" si="67"/>
        <v>5.3457261313914983E-2</v>
      </c>
      <c r="L327" s="17">
        <f t="shared" si="67"/>
        <v>6.9032813045760241E-2</v>
      </c>
      <c r="M327" s="17">
        <f t="shared" si="67"/>
        <v>4.0416286524434658E-2</v>
      </c>
    </row>
    <row r="328" spans="6:13" x14ac:dyDescent="0.2">
      <c r="F328">
        <v>934</v>
      </c>
      <c r="G328">
        <f t="shared" si="63"/>
        <v>0.93400000000000005</v>
      </c>
      <c r="H328">
        <f t="shared" si="65"/>
        <v>661</v>
      </c>
      <c r="I328" s="17">
        <f t="shared" si="67"/>
        <v>2.9985190116543183E-2</v>
      </c>
      <c r="J328" s="17">
        <f t="shared" si="67"/>
        <v>3.2300224503975607E-2</v>
      </c>
      <c r="K328" s="17">
        <f t="shared" si="67"/>
        <v>5.3470661629685536E-2</v>
      </c>
      <c r="L328" s="17">
        <f t="shared" si="67"/>
        <v>6.9075561150159753E-2</v>
      </c>
      <c r="M328" s="17">
        <f t="shared" si="67"/>
        <v>4.0428974627486777E-2</v>
      </c>
    </row>
    <row r="329" spans="6:13" x14ac:dyDescent="0.2">
      <c r="F329">
        <v>935</v>
      </c>
      <c r="G329">
        <f t="shared" si="63"/>
        <v>0.93500000000000005</v>
      </c>
      <c r="H329">
        <f t="shared" si="65"/>
        <v>662</v>
      </c>
      <c r="I329" s="17">
        <f t="shared" si="67"/>
        <v>2.9988318640505836E-2</v>
      </c>
      <c r="J329" s="17">
        <f t="shared" si="67"/>
        <v>3.2306336551188149E-2</v>
      </c>
      <c r="K329" s="17">
        <f t="shared" si="67"/>
        <v>5.3484038028178311E-2</v>
      </c>
      <c r="L329" s="17">
        <f t="shared" si="67"/>
        <v>6.911826241651095E-2</v>
      </c>
      <c r="M329" s="17">
        <f t="shared" si="67"/>
        <v>4.0441662761793624E-2</v>
      </c>
    </row>
    <row r="330" spans="6:13" x14ac:dyDescent="0.2">
      <c r="F330">
        <v>936</v>
      </c>
      <c r="G330">
        <f t="shared" si="63"/>
        <v>0.93600000000000005</v>
      </c>
      <c r="H330">
        <f t="shared" si="65"/>
        <v>663</v>
      </c>
      <c r="I330" s="17">
        <f t="shared" si="67"/>
        <v>2.9991453229493925E-2</v>
      </c>
      <c r="J330" s="17">
        <f t="shared" si="67"/>
        <v>3.231244322782989E-2</v>
      </c>
      <c r="K330" s="17">
        <f t="shared" si="67"/>
        <v>5.3497390561684996E-2</v>
      </c>
      <c r="L330" s="17">
        <f t="shared" si="67"/>
        <v>6.9160916857139376E-2</v>
      </c>
      <c r="M330" s="17">
        <f t="shared" si="67"/>
        <v>4.0454350909382236E-2</v>
      </c>
    </row>
    <row r="331" spans="6:13" x14ac:dyDescent="0.2">
      <c r="F331">
        <v>937</v>
      </c>
      <c r="G331">
        <f t="shared" si="63"/>
        <v>0.93700000000000006</v>
      </c>
      <c r="H331">
        <f t="shared" si="65"/>
        <v>664</v>
      </c>
      <c r="I331" s="17">
        <f t="shared" si="67"/>
        <v>2.9994593872181275E-2</v>
      </c>
      <c r="J331" s="17">
        <f t="shared" si="67"/>
        <v>3.2318544524446977E-2</v>
      </c>
      <c r="K331" s="17">
        <f t="shared" si="67"/>
        <v>5.3510719282472745E-2</v>
      </c>
      <c r="L331" s="17">
        <f t="shared" si="67"/>
        <v>6.9203524484492462E-2</v>
      </c>
      <c r="M331" s="17">
        <f t="shared" si="67"/>
        <v>4.0467039052294401E-2</v>
      </c>
    </row>
    <row r="332" spans="6:13" x14ac:dyDescent="0.2">
      <c r="F332">
        <v>938</v>
      </c>
      <c r="G332">
        <f t="shared" si="63"/>
        <v>0.93799999999999994</v>
      </c>
      <c r="H332">
        <f t="shared" si="65"/>
        <v>665</v>
      </c>
      <c r="I332" s="17">
        <f t="shared" si="67"/>
        <v>2.9997740557213451E-2</v>
      </c>
      <c r="J332" s="17">
        <f t="shared" si="67"/>
        <v>3.2324640431679701E-2</v>
      </c>
      <c r="K332" s="17">
        <f t="shared" si="67"/>
        <v>5.3524024242784345E-2</v>
      </c>
      <c r="L332" s="17">
        <f t="shared" si="67"/>
        <v>6.9246085311138753E-2</v>
      </c>
      <c r="M332" s="17">
        <f t="shared" si="67"/>
        <v>4.0479727172586563E-2</v>
      </c>
    </row>
    <row r="333" spans="6:13" x14ac:dyDescent="0.2">
      <c r="F333">
        <v>939</v>
      </c>
      <c r="G333">
        <f t="shared" si="63"/>
        <v>0.93899999999999995</v>
      </c>
      <c r="H333">
        <f t="shared" si="65"/>
        <v>666</v>
      </c>
      <c r="I333" s="17">
        <f t="shared" si="67"/>
        <v>3.0000893273207836E-2</v>
      </c>
      <c r="J333" s="17">
        <f t="shared" si="67"/>
        <v>3.233073094026187E-2</v>
      </c>
      <c r="K333" s="17">
        <f t="shared" si="67"/>
        <v>5.353730549483833E-2</v>
      </c>
      <c r="L333" s="17">
        <f t="shared" si="67"/>
        <v>6.928859934976718E-2</v>
      </c>
      <c r="M333" s="17">
        <f t="shared" si="67"/>
        <v>4.049241525232973E-2</v>
      </c>
    </row>
    <row r="334" spans="6:13" x14ac:dyDescent="0.2">
      <c r="F334">
        <v>940</v>
      </c>
      <c r="G334">
        <f t="shared" si="63"/>
        <v>0.94</v>
      </c>
      <c r="H334">
        <f t="shared" si="65"/>
        <v>667</v>
      </c>
      <c r="I334" s="17">
        <f t="shared" si="67"/>
        <v>3.0004052008753945E-2</v>
      </c>
      <c r="J334" s="17">
        <f t="shared" si="67"/>
        <v>3.233681604102033E-2</v>
      </c>
      <c r="K334" s="17">
        <f t="shared" si="67"/>
        <v>5.3550563090829187E-2</v>
      </c>
      <c r="L334" s="17">
        <f t="shared" si="67"/>
        <v>6.933106661318611E-2</v>
      </c>
      <c r="M334" s="17">
        <f t="shared" si="67"/>
        <v>4.0505103273609372E-2</v>
      </c>
    </row>
    <row r="335" spans="6:13" x14ac:dyDescent="0.2">
      <c r="F335">
        <v>941</v>
      </c>
      <c r="G335">
        <f t="shared" si="63"/>
        <v>0.94099999999999995</v>
      </c>
      <c r="H335">
        <f t="shared" si="65"/>
        <v>668</v>
      </c>
      <c r="I335" s="17">
        <f t="shared" si="67"/>
        <v>3.0007216752413478E-2</v>
      </c>
      <c r="J335" s="17">
        <f t="shared" si="67"/>
        <v>3.2342895724874185E-2</v>
      </c>
      <c r="K335" s="17">
        <f t="shared" si="67"/>
        <v>5.3563797082927474E-2</v>
      </c>
      <c r="L335" s="17">
        <f t="shared" si="67"/>
        <v>6.9373487114322771E-2</v>
      </c>
      <c r="M335" s="17">
        <f t="shared" si="67"/>
        <v>4.0517791218525369E-2</v>
      </c>
    </row>
    <row r="336" spans="6:13" x14ac:dyDescent="0.2">
      <c r="F336">
        <v>942</v>
      </c>
      <c r="G336">
        <f t="shared" si="63"/>
        <v>0.94199999999999995</v>
      </c>
      <c r="H336">
        <f t="shared" si="65"/>
        <v>669</v>
      </c>
      <c r="I336" s="17">
        <f t="shared" si="67"/>
        <v>3.0010387492720596E-2</v>
      </c>
      <c r="J336" s="17">
        <f t="shared" si="67"/>
        <v>3.2348969982834382E-2</v>
      </c>
      <c r="K336" s="17">
        <f t="shared" si="67"/>
        <v>5.3577007523279964E-2</v>
      </c>
      <c r="L336" s="17">
        <f t="shared" si="67"/>
        <v>6.9415860866222368E-2</v>
      </c>
      <c r="M336" s="17">
        <f t="shared" si="67"/>
        <v>4.0530479069191841E-2</v>
      </c>
    </row>
    <row r="337" spans="6:13" x14ac:dyDescent="0.2">
      <c r="F337">
        <v>943</v>
      </c>
      <c r="G337">
        <f t="shared" si="63"/>
        <v>0.94299999999999995</v>
      </c>
      <c r="H337">
        <f t="shared" si="65"/>
        <v>670</v>
      </c>
      <c r="I337" s="17">
        <f t="shared" si="67"/>
        <v>3.0013564218182034E-2</v>
      </c>
      <c r="J337" s="17">
        <f t="shared" si="67"/>
        <v>3.2355038806003052E-2</v>
      </c>
      <c r="K337" s="17">
        <f t="shared" si="67"/>
        <v>5.3590194464009859E-2</v>
      </c>
      <c r="L337" s="17">
        <f t="shared" si="67"/>
        <v>6.9458187882047481E-2</v>
      </c>
      <c r="M337" s="17">
        <f t="shared" si="67"/>
        <v>4.054316680773714E-2</v>
      </c>
    </row>
    <row r="338" spans="6:13" x14ac:dyDescent="0.2">
      <c r="F338">
        <v>944</v>
      </c>
      <c r="G338">
        <f t="shared" si="63"/>
        <v>0.94399999999999995</v>
      </c>
      <c r="H338">
        <f t="shared" si="65"/>
        <v>671</v>
      </c>
      <c r="I338" s="17">
        <f t="shared" si="67"/>
        <v>3.00167469172773E-2</v>
      </c>
      <c r="J338" s="17">
        <f t="shared" si="67"/>
        <v>3.2361102185572914E-2</v>
      </c>
      <c r="K338" s="17">
        <f t="shared" si="67"/>
        <v>5.3603357957216852E-2</v>
      </c>
      <c r="L338" s="17">
        <f t="shared" si="67"/>
        <v>6.9500468175077157E-2</v>
      </c>
      <c r="M338" s="17">
        <f t="shared" si="67"/>
        <v>4.0555854416303716E-2</v>
      </c>
    </row>
    <row r="339" spans="6:13" x14ac:dyDescent="0.2">
      <c r="F339">
        <v>945</v>
      </c>
      <c r="G339">
        <f t="shared" si="63"/>
        <v>0.94499999999999995</v>
      </c>
      <c r="H339">
        <f t="shared" si="65"/>
        <v>672</v>
      </c>
      <c r="I339" s="17">
        <f t="shared" si="67"/>
        <v>3.0019935578458844E-2</v>
      </c>
      <c r="J339" s="17">
        <f t="shared" si="67"/>
        <v>3.2367160112826747E-2</v>
      </c>
      <c r="K339" s="17">
        <f t="shared" si="67"/>
        <v>5.3616498054977313E-2</v>
      </c>
      <c r="L339" s="17">
        <f t="shared" si="67"/>
        <v>6.9542701758706235E-2</v>
      </c>
      <c r="M339" s="17">
        <f t="shared" si="67"/>
        <v>4.0568541877048045E-2</v>
      </c>
    </row>
    <row r="340" spans="6:13" x14ac:dyDescent="0.2">
      <c r="F340">
        <v>946</v>
      </c>
      <c r="G340">
        <f t="shared" si="63"/>
        <v>0.94599999999999995</v>
      </c>
      <c r="H340">
        <f t="shared" si="65"/>
        <v>673</v>
      </c>
      <c r="I340" s="17">
        <f t="shared" si="67"/>
        <v>3.0023130190152236E-2</v>
      </c>
      <c r="J340" s="17">
        <f t="shared" si="67"/>
        <v>3.2373212579136779E-2</v>
      </c>
      <c r="K340" s="17">
        <f t="shared" si="67"/>
        <v>5.3629614809344466E-2</v>
      </c>
      <c r="L340" s="17">
        <f t="shared" si="67"/>
        <v>6.9584888646444687E-2</v>
      </c>
      <c r="M340" s="17">
        <f t="shared" si="67"/>
        <v>4.0581229172140514E-2</v>
      </c>
    </row>
    <row r="341" spans="6:13" x14ac:dyDescent="0.2">
      <c r="F341">
        <v>947</v>
      </c>
      <c r="G341">
        <f t="shared" si="63"/>
        <v>0.94699999999999995</v>
      </c>
      <c r="H341">
        <f t="shared" si="65"/>
        <v>674</v>
      </c>
      <c r="I341" s="17">
        <f t="shared" si="67"/>
        <v>3.0026330740756318E-2</v>
      </c>
      <c r="J341" s="17">
        <f t="shared" si="67"/>
        <v>3.2379259575964159E-2</v>
      </c>
      <c r="K341" s="17">
        <f t="shared" si="67"/>
        <v>5.3642708272348516E-2</v>
      </c>
      <c r="L341" s="17">
        <f t="shared" si="67"/>
        <v>6.9627028851916767E-2</v>
      </c>
      <c r="M341" s="17">
        <f t="shared" si="67"/>
        <v>4.0593916283765352E-2</v>
      </c>
    </row>
    <row r="342" spans="6:13" x14ac:dyDescent="0.2">
      <c r="F342">
        <v>948</v>
      </c>
      <c r="G342">
        <f t="shared" si="63"/>
        <v>0.94799999999999995</v>
      </c>
      <c r="H342">
        <f t="shared" si="65"/>
        <v>675</v>
      </c>
      <c r="I342" s="17">
        <f t="shared" si="67"/>
        <v>3.0029537218643387E-2</v>
      </c>
      <c r="J342" s="17">
        <f t="shared" si="67"/>
        <v>3.2385301094858342E-2</v>
      </c>
      <c r="K342" s="17">
        <f t="shared" si="67"/>
        <v>5.3655778495996766E-2</v>
      </c>
      <c r="L342" s="17">
        <f t="shared" si="67"/>
        <v>6.9669122388860333E-2</v>
      </c>
      <c r="M342" s="17">
        <f t="shared" si="67"/>
        <v>4.0606603194120565E-2</v>
      </c>
    </row>
    <row r="343" spans="6:13" x14ac:dyDescent="0.2">
      <c r="F343">
        <v>949</v>
      </c>
      <c r="G343">
        <f t="shared" si="63"/>
        <v>0.94899999999999995</v>
      </c>
      <c r="H343">
        <f t="shared" si="65"/>
        <v>676</v>
      </c>
      <c r="I343" s="17">
        <f t="shared" ref="I343:M358" si="68">(I$159+I$160*$G343+I$161*($G343^2)+I$162*($G343^3)+I$163/($G343^2))/1000</f>
        <v>3.0032749612159373E-2</v>
      </c>
      <c r="J343" s="17">
        <f t="shared" si="68"/>
        <v>3.2391337127456586E-2</v>
      </c>
      <c r="K343" s="17">
        <f t="shared" si="68"/>
        <v>5.3668825532273791E-2</v>
      </c>
      <c r="L343" s="17">
        <f t="shared" si="68"/>
        <v>6.971116927112618E-2</v>
      </c>
      <c r="M343" s="17">
        <f t="shared" si="68"/>
        <v>4.0619289885417784E-2</v>
      </c>
    </row>
    <row r="344" spans="6:13" x14ac:dyDescent="0.2">
      <c r="F344">
        <v>950</v>
      </c>
      <c r="G344">
        <f t="shared" si="63"/>
        <v>0.95</v>
      </c>
      <c r="H344">
        <f t="shared" si="65"/>
        <v>677</v>
      </c>
      <c r="I344" s="17">
        <f t="shared" si="68"/>
        <v>3.003596790962397E-2</v>
      </c>
      <c r="J344" s="17">
        <f t="shared" si="68"/>
        <v>3.239736766548338E-2</v>
      </c>
      <c r="K344" s="17">
        <f t="shared" si="68"/>
        <v>5.368184943314161E-2</v>
      </c>
      <c r="L344" s="17">
        <f t="shared" si="68"/>
        <v>6.9753169512677293E-2</v>
      </c>
      <c r="M344" s="17">
        <f t="shared" si="68"/>
        <v>4.0631976339882268E-2</v>
      </c>
    </row>
    <row r="345" spans="6:13" x14ac:dyDescent="0.2">
      <c r="F345">
        <v>951</v>
      </c>
      <c r="G345">
        <f t="shared" si="63"/>
        <v>0.95099999999999996</v>
      </c>
      <c r="H345">
        <f t="shared" si="65"/>
        <v>678</v>
      </c>
      <c r="I345" s="17">
        <f t="shared" si="68"/>
        <v>3.0039192099330835E-2</v>
      </c>
      <c r="J345" s="17">
        <f t="shared" si="68"/>
        <v>3.2403392700749857E-2</v>
      </c>
      <c r="K345" s="17">
        <f t="shared" si="68"/>
        <v>5.3694850250539758E-2</v>
      </c>
      <c r="L345" s="17">
        <f t="shared" si="68"/>
        <v>6.9795123127588038E-2</v>
      </c>
      <c r="M345" s="17">
        <f t="shared" si="68"/>
        <v>4.0644662539752727E-2</v>
      </c>
    </row>
    <row r="346" spans="6:13" x14ac:dyDescent="0.2">
      <c r="F346">
        <v>952</v>
      </c>
      <c r="G346">
        <f t="shared" si="63"/>
        <v>0.95199999999999996</v>
      </c>
      <c r="H346">
        <f t="shared" si="65"/>
        <v>679</v>
      </c>
      <c r="I346" s="17">
        <f t="shared" si="68"/>
        <v>3.0042422169547743E-2</v>
      </c>
      <c r="J346" s="17">
        <f t="shared" si="68"/>
        <v>3.2409412225153311E-2</v>
      </c>
      <c r="K346" s="17">
        <f t="shared" si="68"/>
        <v>5.370782803638547E-2</v>
      </c>
      <c r="L346" s="17">
        <f t="shared" si="68"/>
        <v>6.9837030130043734E-2</v>
      </c>
      <c r="M346" s="17">
        <f t="shared" si="68"/>
        <v>4.0657348467281307E-2</v>
      </c>
    </row>
    <row r="347" spans="6:13" x14ac:dyDescent="0.2">
      <c r="F347">
        <v>953</v>
      </c>
      <c r="G347">
        <f t="shared" si="63"/>
        <v>0.95299999999999996</v>
      </c>
      <c r="H347">
        <f t="shared" si="65"/>
        <v>680</v>
      </c>
      <c r="I347" s="17">
        <f t="shared" si="68"/>
        <v>3.0045658108516757E-2</v>
      </c>
      <c r="J347" s="17">
        <f t="shared" si="68"/>
        <v>3.2415426230676586E-2</v>
      </c>
      <c r="K347" s="17">
        <f t="shared" si="68"/>
        <v>5.3720782842573839E-2</v>
      </c>
      <c r="L347" s="17">
        <f t="shared" si="68"/>
        <v>6.9878890534339516E-2</v>
      </c>
      <c r="M347" s="17">
        <f t="shared" si="68"/>
        <v>4.0670034104733459E-2</v>
      </c>
    </row>
    <row r="348" spans="6:13" x14ac:dyDescent="0.2">
      <c r="F348">
        <v>954</v>
      </c>
      <c r="G348">
        <f t="shared" si="63"/>
        <v>0.95399999999999996</v>
      </c>
      <c r="H348">
        <f t="shared" si="65"/>
        <v>681</v>
      </c>
      <c r="I348" s="17">
        <f t="shared" si="68"/>
        <v>3.0048899904454359E-2</v>
      </c>
      <c r="J348" s="17">
        <f t="shared" si="68"/>
        <v>3.2421434709387624E-2</v>
      </c>
      <c r="K348" s="17">
        <f t="shared" si="68"/>
        <v>5.3733714720977897E-2</v>
      </c>
      <c r="L348" s="17">
        <f t="shared" si="68"/>
        <v>6.9920704354880195E-2</v>
      </c>
      <c r="M348" s="17">
        <f t="shared" si="68"/>
        <v>4.0682719434387907E-2</v>
      </c>
    </row>
    <row r="349" spans="6:13" x14ac:dyDescent="0.2">
      <c r="F349">
        <v>955</v>
      </c>
      <c r="G349">
        <f t="shared" si="63"/>
        <v>0.95499999999999996</v>
      </c>
      <c r="H349">
        <f t="shared" si="65"/>
        <v>682</v>
      </c>
      <c r="I349" s="17">
        <f t="shared" si="68"/>
        <v>3.0052147545551647E-2</v>
      </c>
      <c r="J349" s="17">
        <f t="shared" si="68"/>
        <v>3.2427437653438848E-2</v>
      </c>
      <c r="K349" s="17">
        <f t="shared" si="68"/>
        <v>5.3746623723448815E-2</v>
      </c>
      <c r="L349" s="17">
        <f t="shared" si="68"/>
        <v>6.996247160617905E-2</v>
      </c>
      <c r="M349" s="17">
        <f t="shared" si="68"/>
        <v>4.0695404438536482E-2</v>
      </c>
    </row>
    <row r="350" spans="6:13" x14ac:dyDescent="0.2">
      <c r="F350">
        <v>956</v>
      </c>
      <c r="G350">
        <f t="shared" si="63"/>
        <v>0.95599999999999996</v>
      </c>
      <c r="H350">
        <f t="shared" si="65"/>
        <v>683</v>
      </c>
      <c r="I350" s="17">
        <f t="shared" si="68"/>
        <v>3.0055401019974486E-2</v>
      </c>
      <c r="J350" s="17">
        <f t="shared" si="68"/>
        <v>3.243343505506667E-2</v>
      </c>
      <c r="K350" s="17">
        <f t="shared" si="68"/>
        <v>5.3759509901815987E-2</v>
      </c>
      <c r="L350" s="17">
        <f t="shared" si="68"/>
        <v>7.0004192302857496E-2</v>
      </c>
      <c r="M350" s="17">
        <f t="shared" si="68"/>
        <v>4.0708089099484132E-2</v>
      </c>
    </row>
    <row r="351" spans="6:13" x14ac:dyDescent="0.2">
      <c r="F351">
        <v>957</v>
      </c>
      <c r="G351">
        <f t="shared" si="63"/>
        <v>0.95699999999999996</v>
      </c>
      <c r="H351">
        <f t="shared" si="65"/>
        <v>684</v>
      </c>
      <c r="I351" s="17">
        <f t="shared" si="68"/>
        <v>3.0058660315863631E-2</v>
      </c>
      <c r="J351" s="17">
        <f t="shared" si="68"/>
        <v>3.2439426906590962E-2</v>
      </c>
      <c r="K351" s="17">
        <f t="shared" si="68"/>
        <v>5.3772373307887242E-2</v>
      </c>
      <c r="L351" s="17">
        <f t="shared" si="68"/>
        <v>7.0045866459644252E-2</v>
      </c>
      <c r="M351" s="17">
        <f t="shared" si="68"/>
        <v>4.0720773399548792E-2</v>
      </c>
    </row>
    <row r="352" spans="6:13" x14ac:dyDescent="0.2">
      <c r="F352">
        <v>958</v>
      </c>
      <c r="G352">
        <f t="shared" si="63"/>
        <v>0.95799999999999996</v>
      </c>
      <c r="H352">
        <f t="shared" si="65"/>
        <v>685</v>
      </c>
      <c r="I352" s="17">
        <f t="shared" si="68"/>
        <v>3.0061925421334953E-2</v>
      </c>
      <c r="J352" s="17">
        <f t="shared" si="68"/>
        <v>3.2445413200414538E-2</v>
      </c>
      <c r="K352" s="17">
        <f t="shared" si="68"/>
        <v>5.3785213993448877E-2</v>
      </c>
      <c r="L352" s="17">
        <f t="shared" si="68"/>
        <v>7.0087494091374672E-2</v>
      </c>
      <c r="M352" s="17">
        <f t="shared" si="68"/>
        <v>4.0733457321061282E-2</v>
      </c>
    </row>
    <row r="353" spans="6:13" x14ac:dyDescent="0.2">
      <c r="F353">
        <v>959</v>
      </c>
      <c r="G353">
        <f t="shared" si="63"/>
        <v>0.95899999999999996</v>
      </c>
      <c r="H353">
        <f t="shared" si="65"/>
        <v>686</v>
      </c>
      <c r="I353" s="17">
        <f t="shared" si="68"/>
        <v>3.0065196324479505E-2</v>
      </c>
      <c r="J353" s="17">
        <f t="shared" si="68"/>
        <v>3.2451393929022618E-2</v>
      </c>
      <c r="K353" s="17">
        <f t="shared" si="68"/>
        <v>5.3798032010265881E-2</v>
      </c>
      <c r="L353" s="17">
        <f t="shared" si="68"/>
        <v>7.012907521299018E-2</v>
      </c>
      <c r="M353" s="17">
        <f t="shared" si="68"/>
        <v>4.0746140846365277E-2</v>
      </c>
    </row>
    <row r="354" spans="6:13" x14ac:dyDescent="0.2">
      <c r="F354">
        <v>960</v>
      </c>
      <c r="G354">
        <f t="shared" si="63"/>
        <v>0.96</v>
      </c>
      <c r="H354">
        <f t="shared" si="65"/>
        <v>687</v>
      </c>
      <c r="I354" s="17">
        <f t="shared" si="68"/>
        <v>3.0068473013363777E-2</v>
      </c>
      <c r="J354" s="17">
        <f t="shared" si="68"/>
        <v>3.2457369084982333E-2</v>
      </c>
      <c r="K354" s="17">
        <f t="shared" si="68"/>
        <v>5.3810827410082002E-2</v>
      </c>
      <c r="L354" s="17">
        <f t="shared" si="68"/>
        <v>7.0170609839537448E-2</v>
      </c>
      <c r="M354" s="17">
        <f t="shared" si="68"/>
        <v>4.0758823957817221E-2</v>
      </c>
    </row>
    <row r="355" spans="6:13" x14ac:dyDescent="0.2">
      <c r="F355">
        <v>961</v>
      </c>
      <c r="G355">
        <f t="shared" si="63"/>
        <v>0.96099999999999997</v>
      </c>
      <c r="H355">
        <f t="shared" si="65"/>
        <v>688</v>
      </c>
      <c r="I355" s="17">
        <f t="shared" si="68"/>
        <v>3.0071755476029763E-2</v>
      </c>
      <c r="J355" s="17">
        <f t="shared" si="68"/>
        <v>3.2463338660942198E-2</v>
      </c>
      <c r="K355" s="17">
        <f t="shared" si="68"/>
        <v>5.3823600244619935E-2</v>
      </c>
      <c r="L355" s="17">
        <f t="shared" si="68"/>
        <v>7.0212097986167926E-2</v>
      </c>
      <c r="M355" s="17">
        <f t="shared" si="68"/>
        <v>4.0771506637786184E-2</v>
      </c>
    </row>
    <row r="356" spans="6:13" x14ac:dyDescent="0.2">
      <c r="F356">
        <v>962</v>
      </c>
      <c r="G356">
        <f t="shared" si="63"/>
        <v>0.96199999999999997</v>
      </c>
      <c r="H356">
        <f t="shared" si="65"/>
        <v>689</v>
      </c>
      <c r="I356" s="17">
        <f t="shared" si="68"/>
        <v>3.0075043700495172E-2</v>
      </c>
      <c r="J356" s="17">
        <f t="shared" si="68"/>
        <v>3.2469302649631653E-2</v>
      </c>
      <c r="K356" s="17">
        <f t="shared" si="68"/>
        <v>5.3836350565581406E-2</v>
      </c>
      <c r="L356" s="17">
        <f t="shared" si="68"/>
        <v>7.0253539668137063E-2</v>
      </c>
      <c r="M356" s="17">
        <f t="shared" si="68"/>
        <v>4.0784188868653849E-2</v>
      </c>
    </row>
    <row r="357" spans="6:13" x14ac:dyDescent="0.2">
      <c r="F357">
        <v>963</v>
      </c>
      <c r="G357">
        <f t="shared" si="63"/>
        <v>0.96299999999999997</v>
      </c>
      <c r="H357">
        <f t="shared" si="65"/>
        <v>690</v>
      </c>
      <c r="I357" s="17">
        <f t="shared" si="68"/>
        <v>3.0078337674753534E-2</v>
      </c>
      <c r="J357" s="17">
        <f t="shared" si="68"/>
        <v>3.2475261043860434E-2</v>
      </c>
      <c r="K357" s="17">
        <f t="shared" si="68"/>
        <v>5.3849078424647361E-2</v>
      </c>
      <c r="L357" s="17">
        <f t="shared" si="68"/>
        <v>7.0294934900803602E-2</v>
      </c>
      <c r="M357" s="17">
        <f t="shared" si="68"/>
        <v>4.0796870632814432E-2</v>
      </c>
    </row>
    <row r="358" spans="6:13" x14ac:dyDescent="0.2">
      <c r="F358">
        <v>964</v>
      </c>
      <c r="G358">
        <f t="shared" si="63"/>
        <v>0.96399999999999997</v>
      </c>
      <c r="H358">
        <f t="shared" si="65"/>
        <v>691</v>
      </c>
      <c r="I358" s="17">
        <f t="shared" si="68"/>
        <v>3.0081637386774381E-2</v>
      </c>
      <c r="J358" s="17">
        <f t="shared" si="68"/>
        <v>3.2481213836518238E-2</v>
      </c>
      <c r="K358" s="17">
        <f t="shared" si="68"/>
        <v>5.3861783873478009E-2</v>
      </c>
      <c r="L358" s="17">
        <f t="shared" si="68"/>
        <v>7.0336283699629146E-2</v>
      </c>
      <c r="M358" s="17">
        <f t="shared" si="68"/>
        <v>4.0809551912674553E-2</v>
      </c>
    </row>
    <row r="359" spans="6:13" x14ac:dyDescent="0.2">
      <c r="F359">
        <v>965</v>
      </c>
      <c r="G359">
        <f t="shared" ref="G359:G422" si="69">F359/1000</f>
        <v>0.96499999999999997</v>
      </c>
      <c r="H359">
        <f t="shared" si="65"/>
        <v>692</v>
      </c>
      <c r="I359" s="17">
        <f t="shared" ref="I359:M374" si="70">(I$159+I$160*$G359+I$161*($G359^2)+I$162*($G359^3)+I$163/($G359^2))/1000</f>
        <v>3.0084942824503417E-2</v>
      </c>
      <c r="J359" s="17">
        <f t="shared" si="70"/>
        <v>3.2487161020574098E-2</v>
      </c>
      <c r="K359" s="17">
        <f t="shared" si="70"/>
        <v>5.3874466963713029E-2</v>
      </c>
      <c r="L359" s="17">
        <f t="shared" si="70"/>
        <v>7.0377586080177301E-2</v>
      </c>
      <c r="M359" s="17">
        <f t="shared" si="70"/>
        <v>4.0822232690653215E-2</v>
      </c>
    </row>
    <row r="360" spans="6:13" x14ac:dyDescent="0.2">
      <c r="F360">
        <v>966</v>
      </c>
      <c r="G360">
        <f t="shared" si="69"/>
        <v>0.96599999999999997</v>
      </c>
      <c r="H360">
        <f t="shared" si="65"/>
        <v>693</v>
      </c>
      <c r="I360" s="17">
        <f t="shared" si="70"/>
        <v>3.0088253975862591E-2</v>
      </c>
      <c r="J360" s="17">
        <f t="shared" si="70"/>
        <v>3.2493102589075958E-2</v>
      </c>
      <c r="K360" s="17">
        <f t="shared" si="70"/>
        <v>5.3887127746971672E-2</v>
      </c>
      <c r="L360" s="17">
        <f t="shared" si="70"/>
        <v>7.0418842058113232E-2</v>
      </c>
      <c r="M360" s="17">
        <f t="shared" si="70"/>
        <v>4.0834912949181679E-2</v>
      </c>
    </row>
    <row r="361" spans="6:13" x14ac:dyDescent="0.2">
      <c r="F361">
        <v>967</v>
      </c>
      <c r="G361">
        <f t="shared" si="69"/>
        <v>0.96699999999999997</v>
      </c>
      <c r="H361">
        <f t="shared" ref="H361:H424" si="71">F361-273</f>
        <v>694</v>
      </c>
      <c r="I361" s="17">
        <f t="shared" si="70"/>
        <v>3.0091570828750313E-2</v>
      </c>
      <c r="J361" s="17">
        <f t="shared" si="70"/>
        <v>3.2499038535150175E-2</v>
      </c>
      <c r="K361" s="17">
        <f t="shared" si="70"/>
        <v>5.3899766274852871E-2</v>
      </c>
      <c r="L361" s="17">
        <f t="shared" si="70"/>
        <v>7.0460051649202812E-2</v>
      </c>
      <c r="M361" s="17">
        <f t="shared" si="70"/>
        <v>4.0847592670703446E-2</v>
      </c>
    </row>
    <row r="362" spans="6:13" x14ac:dyDescent="0.2">
      <c r="F362">
        <v>968</v>
      </c>
      <c r="G362">
        <f t="shared" si="69"/>
        <v>0.96799999999999997</v>
      </c>
      <c r="H362">
        <f t="shared" si="71"/>
        <v>695</v>
      </c>
      <c r="I362" s="17">
        <f t="shared" si="70"/>
        <v>3.0094893371041587E-2</v>
      </c>
      <c r="J362" s="17">
        <f t="shared" si="70"/>
        <v>3.2504968852000986E-2</v>
      </c>
      <c r="K362" s="17">
        <f t="shared" si="70"/>
        <v>5.3912382598935389E-2</v>
      </c>
      <c r="L362" s="17">
        <f t="shared" si="70"/>
        <v>7.0501214869312254E-2</v>
      </c>
      <c r="M362" s="17">
        <f t="shared" si="70"/>
        <v>4.0860271837674128E-2</v>
      </c>
    </row>
    <row r="363" spans="6:13" x14ac:dyDescent="0.2">
      <c r="F363">
        <v>969</v>
      </c>
      <c r="G363">
        <f t="shared" si="69"/>
        <v>0.96899999999999997</v>
      </c>
      <c r="H363">
        <f t="shared" si="71"/>
        <v>696</v>
      </c>
      <c r="I363" s="17">
        <f t="shared" si="70"/>
        <v>3.0098221590588115E-2</v>
      </c>
      <c r="J363" s="17">
        <f t="shared" si="70"/>
        <v>3.2510893532910104E-2</v>
      </c>
      <c r="K363" s="17">
        <f t="shared" si="70"/>
        <v>5.3924976770777941E-2</v>
      </c>
      <c r="L363" s="17">
        <f t="shared" si="70"/>
        <v>7.0542331734407285E-2</v>
      </c>
      <c r="M363" s="17">
        <f t="shared" si="70"/>
        <v>4.0872950432561374E-2</v>
      </c>
    </row>
    <row r="364" spans="6:13" x14ac:dyDescent="0.2">
      <c r="F364">
        <v>970</v>
      </c>
      <c r="G364">
        <f t="shared" si="69"/>
        <v>0.97</v>
      </c>
      <c r="H364">
        <f t="shared" si="71"/>
        <v>697</v>
      </c>
      <c r="I364" s="17">
        <f t="shared" si="70"/>
        <v>3.0101555475218516E-2</v>
      </c>
      <c r="J364" s="17">
        <f t="shared" si="70"/>
        <v>3.2516812571236155E-2</v>
      </c>
      <c r="K364" s="17">
        <f t="shared" si="70"/>
        <v>5.3937548841919272E-2</v>
      </c>
      <c r="L364" s="17">
        <f t="shared" si="70"/>
        <v>7.0583402260552611E-2</v>
      </c>
      <c r="M364" s="17">
        <f t="shared" si="70"/>
        <v>4.0885628437844844E-2</v>
      </c>
    </row>
    <row r="365" spans="6:13" x14ac:dyDescent="0.2">
      <c r="F365">
        <v>971</v>
      </c>
      <c r="G365">
        <f t="shared" si="69"/>
        <v>0.97099999999999997</v>
      </c>
      <c r="H365">
        <f t="shared" si="71"/>
        <v>698</v>
      </c>
      <c r="I365" s="17">
        <f t="shared" si="70"/>
        <v>3.0104895012738386E-2</v>
      </c>
      <c r="J365" s="17">
        <f t="shared" si="70"/>
        <v>3.2522725960414278E-2</v>
      </c>
      <c r="K365" s="17">
        <f t="shared" si="70"/>
        <v>5.3950098863878394E-2</v>
      </c>
      <c r="L365" s="17">
        <f t="shared" si="70"/>
        <v>7.062442646391133E-2</v>
      </c>
      <c r="M365" s="17">
        <f t="shared" si="70"/>
        <v>4.0898305836016093E-2</v>
      </c>
    </row>
    <row r="366" spans="6:13" x14ac:dyDescent="0.2">
      <c r="F366">
        <v>972</v>
      </c>
      <c r="G366">
        <f t="shared" si="69"/>
        <v>0.97199999999999998</v>
      </c>
      <c r="H366">
        <f t="shared" si="71"/>
        <v>699</v>
      </c>
      <c r="I366" s="17">
        <f t="shared" si="70"/>
        <v>3.0108240190930481E-2</v>
      </c>
      <c r="J366" s="17">
        <f t="shared" si="70"/>
        <v>3.2528633693955609E-2</v>
      </c>
      <c r="K366" s="17">
        <f t="shared" si="70"/>
        <v>5.396262688815455E-2</v>
      </c>
      <c r="L366" s="17">
        <f t="shared" si="70"/>
        <v>7.0665404360744297E-2</v>
      </c>
      <c r="M366" s="17">
        <f t="shared" si="70"/>
        <v>4.091098260957849E-2</v>
      </c>
    </row>
    <row r="367" spans="6:13" x14ac:dyDescent="0.2">
      <c r="F367">
        <v>973</v>
      </c>
      <c r="G367">
        <f t="shared" si="69"/>
        <v>0.97299999999999998</v>
      </c>
      <c r="H367">
        <f t="shared" si="71"/>
        <v>700</v>
      </c>
      <c r="I367" s="17">
        <f t="shared" si="70"/>
        <v>3.0111590997554883E-2</v>
      </c>
      <c r="J367" s="17">
        <f t="shared" si="70"/>
        <v>3.2534535765446813E-2</v>
      </c>
      <c r="K367" s="17">
        <f t="shared" si="70"/>
        <v>5.3975132966227503E-2</v>
      </c>
      <c r="L367" s="17">
        <f t="shared" si="70"/>
        <v>7.0706335967409481E-2</v>
      </c>
      <c r="M367" s="17">
        <f t="shared" si="70"/>
        <v>4.0923658741047225E-2</v>
      </c>
    </row>
    <row r="368" spans="6:13" x14ac:dyDescent="0.2">
      <c r="F368">
        <v>974</v>
      </c>
      <c r="G368">
        <f t="shared" si="69"/>
        <v>0.97399999999999998</v>
      </c>
      <c r="H368">
        <f t="shared" si="71"/>
        <v>701</v>
      </c>
      <c r="I368" s="17">
        <f t="shared" si="70"/>
        <v>3.0114947420349102E-2</v>
      </c>
      <c r="J368" s="17">
        <f t="shared" si="70"/>
        <v>3.2540432168549654E-2</v>
      </c>
      <c r="K368" s="17">
        <f t="shared" si="70"/>
        <v>5.3987617149557507E-2</v>
      </c>
      <c r="L368" s="17">
        <f t="shared" si="70"/>
        <v>7.0747221300361429E-2</v>
      </c>
      <c r="M368" s="17">
        <f t="shared" si="70"/>
        <v>4.0936334212949101E-2</v>
      </c>
    </row>
    <row r="369" spans="6:13" x14ac:dyDescent="0.2">
      <c r="F369">
        <v>975</v>
      </c>
      <c r="G369">
        <f t="shared" si="69"/>
        <v>0.97499999999999998</v>
      </c>
      <c r="H369">
        <f t="shared" si="71"/>
        <v>702</v>
      </c>
      <c r="I369" s="17">
        <f t="shared" si="70"/>
        <v>3.0118309447028209E-2</v>
      </c>
      <c r="J369" s="17">
        <f t="shared" si="70"/>
        <v>3.254632289700049E-2</v>
      </c>
      <c r="K369" s="17">
        <f t="shared" si="70"/>
        <v>5.4000079489585524E-2</v>
      </c>
      <c r="L369" s="17">
        <f t="shared" si="70"/>
        <v>7.078806037615068E-2</v>
      </c>
      <c r="M369" s="17">
        <f t="shared" si="70"/>
        <v>4.0949009007822564E-2</v>
      </c>
    </row>
    <row r="370" spans="6:13" x14ac:dyDescent="0.2">
      <c r="F370">
        <v>976</v>
      </c>
      <c r="G370">
        <f t="shared" si="69"/>
        <v>0.97599999999999998</v>
      </c>
      <c r="H370">
        <f t="shared" si="71"/>
        <v>703</v>
      </c>
      <c r="I370" s="17">
        <f t="shared" si="70"/>
        <v>3.0121677065284999E-2</v>
      </c>
      <c r="J370" s="17">
        <f t="shared" si="70"/>
        <v>3.2552207944609828E-2</v>
      </c>
      <c r="K370" s="17">
        <f t="shared" si="70"/>
        <v>5.4012520037733311E-2</v>
      </c>
      <c r="L370" s="17">
        <f t="shared" si="70"/>
        <v>7.0828853211423098E-2</v>
      </c>
      <c r="M370" s="17">
        <f t="shared" si="70"/>
        <v>4.0961683108217635E-2</v>
      </c>
    </row>
    <row r="371" spans="6:13" x14ac:dyDescent="0.2">
      <c r="F371">
        <v>977</v>
      </c>
      <c r="G371">
        <f t="shared" si="69"/>
        <v>0.97699999999999998</v>
      </c>
      <c r="H371">
        <f t="shared" si="71"/>
        <v>704</v>
      </c>
      <c r="I371" s="17">
        <f t="shared" si="70"/>
        <v>3.012505026279013E-2</v>
      </c>
      <c r="J371" s="17">
        <f t="shared" si="70"/>
        <v>3.2558087305261899E-2</v>
      </c>
      <c r="K371" s="17">
        <f t="shared" si="70"/>
        <v>5.4024938845403513E-2</v>
      </c>
      <c r="L371" s="17">
        <f t="shared" si="70"/>
        <v>7.0869599822919349E-2</v>
      </c>
      <c r="M371" s="17">
        <f t="shared" si="70"/>
        <v>4.0974356496695771E-2</v>
      </c>
    </row>
    <row r="372" spans="6:13" x14ac:dyDescent="0.2">
      <c r="F372">
        <v>978</v>
      </c>
      <c r="G372">
        <f t="shared" si="69"/>
        <v>0.97799999999999998</v>
      </c>
      <c r="H372">
        <f t="shared" si="71"/>
        <v>705</v>
      </c>
      <c r="I372" s="17">
        <f t="shared" si="70"/>
        <v>3.0128429027192215E-2</v>
      </c>
      <c r="J372" s="17">
        <f t="shared" si="70"/>
        <v>3.2563960972914162E-2</v>
      </c>
      <c r="K372" s="17">
        <f t="shared" si="70"/>
        <v>5.4037335963979839E-2</v>
      </c>
      <c r="L372" s="17">
        <f t="shared" si="70"/>
        <v>7.091030022747434E-2</v>
      </c>
      <c r="M372" s="17">
        <f t="shared" si="70"/>
        <v>4.0987029155829843E-2</v>
      </c>
    </row>
    <row r="373" spans="6:13" x14ac:dyDescent="0.2">
      <c r="F373">
        <v>979</v>
      </c>
      <c r="G373">
        <f t="shared" si="69"/>
        <v>0.97899999999999998</v>
      </c>
      <c r="H373">
        <f t="shared" si="71"/>
        <v>706</v>
      </c>
      <c r="I373" s="17">
        <f t="shared" si="70"/>
        <v>3.0131813346118041E-2</v>
      </c>
      <c r="J373" s="17">
        <f t="shared" si="70"/>
        <v>3.2569828941596865E-2</v>
      </c>
      <c r="K373" s="17">
        <f t="shared" si="70"/>
        <v>5.4049711444827148E-2</v>
      </c>
      <c r="L373" s="17">
        <f t="shared" si="70"/>
        <v>7.0950954442016559E-2</v>
      </c>
      <c r="M373" s="17">
        <f t="shared" si="70"/>
        <v>4.0999701068204074E-2</v>
      </c>
    </row>
    <row r="374" spans="6:13" x14ac:dyDescent="0.2">
      <c r="F374">
        <v>980</v>
      </c>
      <c r="G374">
        <f t="shared" si="69"/>
        <v>0.98</v>
      </c>
      <c r="H374">
        <f t="shared" si="71"/>
        <v>707</v>
      </c>
      <c r="I374" s="17">
        <f t="shared" si="70"/>
        <v>3.0135203207172591E-2</v>
      </c>
      <c r="J374" s="17">
        <f t="shared" si="70"/>
        <v>3.2575691205412621E-2</v>
      </c>
      <c r="K374" s="17">
        <f t="shared" si="70"/>
        <v>5.4062065339291518E-2</v>
      </c>
      <c r="L374" s="17">
        <f t="shared" si="70"/>
        <v>7.0991562483567555E-2</v>
      </c>
      <c r="M374" s="17">
        <f t="shared" si="70"/>
        <v>4.1012372216413927E-2</v>
      </c>
    </row>
    <row r="375" spans="6:13" x14ac:dyDescent="0.2">
      <c r="F375">
        <v>981</v>
      </c>
      <c r="G375">
        <f t="shared" si="69"/>
        <v>0.98099999999999998</v>
      </c>
      <c r="H375">
        <f t="shared" si="71"/>
        <v>708</v>
      </c>
      <c r="I375" s="17">
        <f t="shared" ref="I375:M390" si="72">(I$159+I$160*$G375+I$161*($G375^2)+I$162*($G375^3)+I$163/($G375^2))/1000</f>
        <v>3.0138598597939284E-2</v>
      </c>
      <c r="J375" s="17">
        <f t="shared" si="72"/>
        <v>3.2581547758535993E-2</v>
      </c>
      <c r="K375" s="17">
        <f t="shared" si="72"/>
        <v>5.4074397698700427E-2</v>
      </c>
      <c r="L375" s="17">
        <f t="shared" si="72"/>
        <v>7.103212436924139E-2</v>
      </c>
      <c r="M375" s="17">
        <f t="shared" si="72"/>
        <v>4.1025042583066065E-2</v>
      </c>
    </row>
    <row r="376" spans="6:13" x14ac:dyDescent="0.2">
      <c r="F376">
        <v>982</v>
      </c>
      <c r="G376">
        <f t="shared" si="69"/>
        <v>0.98199999999999998</v>
      </c>
      <c r="H376">
        <f t="shared" si="71"/>
        <v>709</v>
      </c>
      <c r="I376" s="17">
        <f t="shared" si="72"/>
        <v>3.0141999505980049E-2</v>
      </c>
      <c r="J376" s="17">
        <f t="shared" si="72"/>
        <v>3.2587398595212931E-2</v>
      </c>
      <c r="K376" s="17">
        <f t="shared" si="72"/>
        <v>5.4086708574362874E-2</v>
      </c>
      <c r="L376" s="17">
        <f t="shared" si="72"/>
        <v>7.1072640116244021E-2</v>
      </c>
      <c r="M376" s="17">
        <f t="shared" si="72"/>
        <v>4.1037712150778276E-2</v>
      </c>
    </row>
    <row r="377" spans="6:13" x14ac:dyDescent="0.2">
      <c r="F377">
        <v>983</v>
      </c>
      <c r="G377">
        <f t="shared" si="69"/>
        <v>0.98299999999999998</v>
      </c>
      <c r="H377">
        <f t="shared" si="71"/>
        <v>710</v>
      </c>
      <c r="I377" s="17">
        <f t="shared" si="72"/>
        <v>3.0145405918835431E-2</v>
      </c>
      <c r="J377" s="17">
        <f t="shared" si="72"/>
        <v>3.2593243709760494E-2</v>
      </c>
      <c r="K377" s="17">
        <f t="shared" si="72"/>
        <v>5.40989980175694E-2</v>
      </c>
      <c r="L377" s="17">
        <f t="shared" si="72"/>
        <v>7.1113109741872793E-2</v>
      </c>
      <c r="M377" s="17">
        <f t="shared" si="72"/>
        <v>4.1050380902179433E-2</v>
      </c>
    </row>
    <row r="378" spans="6:13" x14ac:dyDescent="0.2">
      <c r="F378">
        <v>984</v>
      </c>
      <c r="G378">
        <f t="shared" si="69"/>
        <v>0.98399999999999999</v>
      </c>
      <c r="H378">
        <f t="shared" si="71"/>
        <v>711</v>
      </c>
      <c r="I378" s="17">
        <f t="shared" si="72"/>
        <v>3.0148817824024822E-2</v>
      </c>
      <c r="J378" s="17">
        <f t="shared" si="72"/>
        <v>3.2599083096566304E-2</v>
      </c>
      <c r="K378" s="17">
        <f t="shared" si="72"/>
        <v>5.4111266079592324E-2</v>
      </c>
      <c r="L378" s="17">
        <f t="shared" si="72"/>
        <v>7.1153533263515839E-2</v>
      </c>
      <c r="M378" s="17">
        <f t="shared" si="72"/>
        <v>4.106304881990936E-2</v>
      </c>
    </row>
    <row r="379" spans="6:13" x14ac:dyDescent="0.2">
      <c r="F379">
        <v>985</v>
      </c>
      <c r="G379">
        <f t="shared" si="69"/>
        <v>0.98499999999999999</v>
      </c>
      <c r="H379">
        <f t="shared" si="71"/>
        <v>712</v>
      </c>
      <c r="I379" s="17">
        <f t="shared" si="72"/>
        <v>3.0152235209046464E-2</v>
      </c>
      <c r="J379" s="17">
        <f t="shared" si="72"/>
        <v>3.2604916750088177E-2</v>
      </c>
      <c r="K379" s="17">
        <f t="shared" si="72"/>
        <v>5.4123512811685745E-2</v>
      </c>
      <c r="L379" s="17">
        <f t="shared" si="72"/>
        <v>7.1193910698651525E-2</v>
      </c>
      <c r="M379" s="17">
        <f t="shared" si="72"/>
        <v>4.1075715886618847E-2</v>
      </c>
    </row>
    <row r="380" spans="6:13" x14ac:dyDescent="0.2">
      <c r="F380">
        <v>986</v>
      </c>
      <c r="G380">
        <f t="shared" si="69"/>
        <v>0.98599999999999999</v>
      </c>
      <c r="H380">
        <f t="shared" si="71"/>
        <v>713</v>
      </c>
      <c r="I380" s="17">
        <f t="shared" si="72"/>
        <v>3.0155658061377683E-2</v>
      </c>
      <c r="J380" s="17">
        <f t="shared" si="72"/>
        <v>3.2610744664853676E-2</v>
      </c>
      <c r="K380" s="17">
        <f t="shared" si="72"/>
        <v>5.413573826508572E-2</v>
      </c>
      <c r="L380" s="17">
        <f t="shared" si="72"/>
        <v>7.1234242064847977E-2</v>
      </c>
      <c r="M380" s="17">
        <f t="shared" si="72"/>
        <v>4.1088382084969503E-2</v>
      </c>
    </row>
    <row r="381" spans="6:13" x14ac:dyDescent="0.2">
      <c r="F381">
        <v>987</v>
      </c>
      <c r="G381">
        <f t="shared" si="69"/>
        <v>0.98699999999999999</v>
      </c>
      <c r="H381">
        <f t="shared" si="71"/>
        <v>714</v>
      </c>
      <c r="I381" s="17">
        <f t="shared" si="72"/>
        <v>3.015908636847494E-2</v>
      </c>
      <c r="J381" s="17">
        <f t="shared" si="72"/>
        <v>3.2616566835459666E-2</v>
      </c>
      <c r="K381" s="17">
        <f t="shared" si="72"/>
        <v>5.4147942491010355E-2</v>
      </c>
      <c r="L381" s="17">
        <f t="shared" si="72"/>
        <v>7.127452737976242E-2</v>
      </c>
      <c r="M381" s="17">
        <f t="shared" si="72"/>
        <v>4.1101047397633754E-2</v>
      </c>
    </row>
    <row r="382" spans="6:13" x14ac:dyDescent="0.2">
      <c r="F382">
        <v>988</v>
      </c>
      <c r="G382">
        <f t="shared" si="69"/>
        <v>0.98799999999999999</v>
      </c>
      <c r="H382">
        <f t="shared" si="71"/>
        <v>715</v>
      </c>
      <c r="I382" s="17">
        <f t="shared" si="72"/>
        <v>3.0162520117773997E-2</v>
      </c>
      <c r="J382" s="17">
        <f t="shared" si="72"/>
        <v>3.2622383256571914E-2</v>
      </c>
      <c r="K382" s="17">
        <f t="shared" si="72"/>
        <v>5.4160125540659881E-2</v>
      </c>
      <c r="L382" s="17">
        <f t="shared" si="72"/>
        <v>7.1314766661140713E-2</v>
      </c>
      <c r="M382" s="17">
        <f t="shared" si="72"/>
        <v>4.1113711807294749E-2</v>
      </c>
    </row>
    <row r="383" spans="6:13" x14ac:dyDescent="0.2">
      <c r="F383">
        <v>989</v>
      </c>
      <c r="G383">
        <f t="shared" si="69"/>
        <v>0.98899999999999999</v>
      </c>
      <c r="H383">
        <f t="shared" si="71"/>
        <v>716</v>
      </c>
      <c r="I383" s="17">
        <f t="shared" si="72"/>
        <v>3.0165959296690054E-2</v>
      </c>
      <c r="J383" s="17">
        <f t="shared" si="72"/>
        <v>3.2628193922924702E-2</v>
      </c>
      <c r="K383" s="17">
        <f t="shared" si="72"/>
        <v>5.4172287465216844E-2</v>
      </c>
      <c r="L383" s="17">
        <f t="shared" si="72"/>
        <v>7.1354959926816799E-2</v>
      </c>
      <c r="M383" s="17">
        <f t="shared" si="72"/>
        <v>4.1126375296646304E-2</v>
      </c>
    </row>
    <row r="384" spans="6:13" x14ac:dyDescent="0.2">
      <c r="F384">
        <v>990</v>
      </c>
      <c r="G384">
        <f t="shared" si="69"/>
        <v>0.99</v>
      </c>
      <c r="H384">
        <f t="shared" si="71"/>
        <v>717</v>
      </c>
      <c r="I384" s="17">
        <f t="shared" si="72"/>
        <v>3.0169403892617849E-2</v>
      </c>
      <c r="J384" s="17">
        <f t="shared" si="72"/>
        <v>3.2633998829320339E-2</v>
      </c>
      <c r="K384" s="17">
        <f t="shared" si="72"/>
        <v>5.4184428315846141E-2</v>
      </c>
      <c r="L384" s="17">
        <f t="shared" si="72"/>
        <v>7.1395107194712204E-2</v>
      </c>
      <c r="M384" s="17">
        <f t="shared" si="72"/>
        <v>4.1139037848392811E-2</v>
      </c>
    </row>
    <row r="385" spans="6:13" x14ac:dyDescent="0.2">
      <c r="F385">
        <v>991</v>
      </c>
      <c r="G385">
        <f t="shared" si="69"/>
        <v>0.99099999999999999</v>
      </c>
      <c r="H385">
        <f t="shared" si="71"/>
        <v>718</v>
      </c>
      <c r="I385" s="17">
        <f t="shared" si="72"/>
        <v>3.0172853892931752E-2</v>
      </c>
      <c r="J385" s="17">
        <f t="shared" si="72"/>
        <v>3.2639797970628839E-2</v>
      </c>
      <c r="K385" s="17">
        <f t="shared" si="72"/>
        <v>5.4196548143695129E-2</v>
      </c>
      <c r="L385" s="17">
        <f t="shared" si="72"/>
        <v>7.1435208482835383E-2</v>
      </c>
      <c r="M385" s="17">
        <f t="shared" si="72"/>
        <v>4.1151699445249219E-2</v>
      </c>
    </row>
    <row r="386" spans="6:13" x14ac:dyDescent="0.2">
      <c r="F386">
        <v>992</v>
      </c>
      <c r="G386">
        <f t="shared" si="69"/>
        <v>0.99199999999999999</v>
      </c>
      <c r="H386">
        <f t="shared" si="71"/>
        <v>719</v>
      </c>
      <c r="I386" s="17">
        <f t="shared" si="72"/>
        <v>3.0176309284985978E-2</v>
      </c>
      <c r="J386" s="17">
        <f t="shared" si="72"/>
        <v>3.2645591341787412E-2</v>
      </c>
      <c r="K386" s="17">
        <f t="shared" si="72"/>
        <v>5.4208646999893764E-2</v>
      </c>
      <c r="L386" s="17">
        <f t="shared" si="72"/>
        <v>7.1475263809281347E-2</v>
      </c>
      <c r="M386" s="17">
        <f t="shared" si="72"/>
        <v>4.1164360069940939E-2</v>
      </c>
    </row>
    <row r="387" spans="6:13" x14ac:dyDescent="0.2">
      <c r="F387">
        <v>993</v>
      </c>
      <c r="G387">
        <f t="shared" si="69"/>
        <v>0.99299999999999999</v>
      </c>
      <c r="H387">
        <f t="shared" si="71"/>
        <v>720</v>
      </c>
      <c r="I387" s="17">
        <f t="shared" si="72"/>
        <v>3.0179770056114594E-2</v>
      </c>
      <c r="J387" s="17">
        <f t="shared" si="72"/>
        <v>3.2651378937800152E-2</v>
      </c>
      <c r="K387" s="17">
        <f t="shared" si="72"/>
        <v>5.4220724935554687E-2</v>
      </c>
      <c r="L387" s="17">
        <f t="shared" si="72"/>
        <v>7.1515273192231069E-2</v>
      </c>
      <c r="M387" s="17">
        <f t="shared" si="72"/>
        <v>4.1177019705203773E-2</v>
      </c>
    </row>
    <row r="388" spans="6:13" x14ac:dyDescent="0.2">
      <c r="F388">
        <v>994</v>
      </c>
      <c r="G388">
        <f t="shared" si="69"/>
        <v>0.99399999999999999</v>
      </c>
      <c r="H388">
        <f t="shared" si="71"/>
        <v>721</v>
      </c>
      <c r="I388" s="17">
        <f t="shared" si="72"/>
        <v>3.0183236193631759E-2</v>
      </c>
      <c r="J388" s="17">
        <f t="shared" si="72"/>
        <v>3.2657160753737556E-2</v>
      </c>
      <c r="K388" s="17">
        <f t="shared" si="72"/>
        <v>5.4232782001773346E-2</v>
      </c>
      <c r="L388" s="17">
        <f t="shared" si="72"/>
        <v>7.1555236649950948E-2</v>
      </c>
      <c r="M388" s="17">
        <f t="shared" si="72"/>
        <v>4.1189678333783897E-2</v>
      </c>
    </row>
    <row r="389" spans="6:13" x14ac:dyDescent="0.2">
      <c r="F389">
        <v>995</v>
      </c>
      <c r="G389">
        <f t="shared" si="69"/>
        <v>0.995</v>
      </c>
      <c r="H389">
        <f t="shared" si="71"/>
        <v>722</v>
      </c>
      <c r="I389" s="17">
        <f t="shared" si="72"/>
        <v>3.0186707684831768E-2</v>
      </c>
      <c r="J389" s="17">
        <f t="shared" si="72"/>
        <v>3.2662936784736203E-2</v>
      </c>
      <c r="K389" s="17">
        <f t="shared" si="72"/>
        <v>5.4244818249628055E-2</v>
      </c>
      <c r="L389" s="17">
        <f t="shared" si="72"/>
        <v>7.1595154200792308E-2</v>
      </c>
      <c r="M389" s="17">
        <f t="shared" si="72"/>
        <v>4.1202335938437737E-2</v>
      </c>
    </row>
    <row r="390" spans="6:13" x14ac:dyDescent="0.2">
      <c r="F390">
        <v>996</v>
      </c>
      <c r="G390">
        <f t="shared" si="69"/>
        <v>0.996</v>
      </c>
      <c r="H390">
        <f t="shared" si="71"/>
        <v>723</v>
      </c>
      <c r="I390" s="17">
        <f t="shared" si="72"/>
        <v>3.0190184516989158E-2</v>
      </c>
      <c r="J390" s="17">
        <f t="shared" si="72"/>
        <v>3.2668707025998264E-2</v>
      </c>
      <c r="K390" s="17">
        <f t="shared" si="72"/>
        <v>5.4256833730180164E-2</v>
      </c>
      <c r="L390" s="17">
        <f t="shared" si="72"/>
        <v>7.1635025863190954E-2</v>
      </c>
      <c r="M390" s="17">
        <f t="shared" si="72"/>
        <v>4.1214992501931946E-2</v>
      </c>
    </row>
    <row r="391" spans="6:13" x14ac:dyDescent="0.2">
      <c r="F391">
        <v>997</v>
      </c>
      <c r="G391">
        <f t="shared" si="69"/>
        <v>0.997</v>
      </c>
      <c r="H391">
        <f t="shared" si="71"/>
        <v>724</v>
      </c>
      <c r="I391" s="17">
        <f t="shared" ref="I391:M406" si="73">(I$159+I$160*$G391+I$161*($G391^2)+I$162*($G391^3)+I$163/($G391^2))/1000</f>
        <v>3.0193666677358892E-2</v>
      </c>
      <c r="J391" s="17">
        <f t="shared" si="73"/>
        <v>3.2674471472791185E-2</v>
      </c>
      <c r="K391" s="17">
        <f t="shared" si="73"/>
        <v>5.4268828494474106E-2</v>
      </c>
      <c r="L391" s="17">
        <f t="shared" si="73"/>
        <v>7.167485165566656E-2</v>
      </c>
      <c r="M391" s="17">
        <f t="shared" si="73"/>
        <v>4.1227648007043358E-2</v>
      </c>
    </row>
    <row r="392" spans="6:13" x14ac:dyDescent="0.2">
      <c r="F392">
        <v>998</v>
      </c>
      <c r="G392">
        <f t="shared" si="69"/>
        <v>0.998</v>
      </c>
      <c r="H392">
        <f t="shared" si="71"/>
        <v>725</v>
      </c>
      <c r="I392" s="17">
        <f t="shared" si="73"/>
        <v>3.019715415317642E-2</v>
      </c>
      <c r="J392" s="17">
        <f t="shared" si="73"/>
        <v>3.2680230120447275E-2</v>
      </c>
      <c r="K392" s="17">
        <f t="shared" si="73"/>
        <v>5.4280802593537528E-2</v>
      </c>
      <c r="L392" s="17">
        <f t="shared" si="73"/>
        <v>7.1714631596822204E-2</v>
      </c>
      <c r="M392" s="17">
        <f t="shared" si="73"/>
        <v>4.1240302436558872E-2</v>
      </c>
    </row>
    <row r="393" spans="6:13" x14ac:dyDescent="0.2">
      <c r="F393">
        <v>999</v>
      </c>
      <c r="G393">
        <f t="shared" si="69"/>
        <v>0.999</v>
      </c>
      <c r="H393">
        <f t="shared" si="71"/>
        <v>726</v>
      </c>
      <c r="I393" s="17">
        <f t="shared" si="73"/>
        <v>3.0200646931657846E-2</v>
      </c>
      <c r="J393" s="17">
        <f t="shared" si="73"/>
        <v>3.2685982964363258E-2</v>
      </c>
      <c r="K393" s="17">
        <f t="shared" si="73"/>
        <v>5.4292756078381375E-2</v>
      </c>
      <c r="L393" s="17">
        <f t="shared" si="73"/>
        <v>7.1754365705343853E-2</v>
      </c>
      <c r="M393" s="17">
        <f t="shared" si="73"/>
        <v>4.1252955773275451E-2</v>
      </c>
    </row>
    <row r="394" spans="6:13" x14ac:dyDescent="0.2">
      <c r="F394">
        <v>1000</v>
      </c>
      <c r="G394">
        <f t="shared" si="69"/>
        <v>1</v>
      </c>
      <c r="H394">
        <f t="shared" si="71"/>
        <v>727</v>
      </c>
      <c r="I394" s="17">
        <f t="shared" si="73"/>
        <v>3.0204145000000005E-2</v>
      </c>
      <c r="J394" s="17">
        <f t="shared" si="73"/>
        <v>3.2691730000000002E-2</v>
      </c>
      <c r="K394" s="17">
        <f t="shared" si="73"/>
        <v>5.4304689000000003E-2</v>
      </c>
      <c r="L394" s="17">
        <f t="shared" si="73"/>
        <v>7.1794053999999996E-2</v>
      </c>
      <c r="M394" s="17">
        <f t="shared" si="73"/>
        <v>4.1265608000000002E-2</v>
      </c>
    </row>
    <row r="395" spans="6:13" x14ac:dyDescent="0.2">
      <c r="F395">
        <v>1001</v>
      </c>
      <c r="G395">
        <f t="shared" si="69"/>
        <v>1.0009999999999999</v>
      </c>
      <c r="H395">
        <f t="shared" si="71"/>
        <v>728</v>
      </c>
      <c r="I395" s="17">
        <f t="shared" si="73"/>
        <v>3.0207648345380568E-2</v>
      </c>
      <c r="J395" s="17">
        <f t="shared" si="73"/>
        <v>3.2697471222882024E-2</v>
      </c>
      <c r="K395" s="17">
        <f t="shared" si="73"/>
        <v>5.4316601409371258E-2</v>
      </c>
      <c r="L395" s="17">
        <f t="shared" si="73"/>
        <v>7.1833696499640942E-2</v>
      </c>
      <c r="M395" s="17">
        <f t="shared" si="73"/>
        <v>4.1278259099549373E-2</v>
      </c>
    </row>
    <row r="396" spans="6:13" x14ac:dyDescent="0.2">
      <c r="F396">
        <v>1002</v>
      </c>
      <c r="G396">
        <f t="shared" si="69"/>
        <v>1.002</v>
      </c>
      <c r="H396">
        <f t="shared" si="71"/>
        <v>729</v>
      </c>
      <c r="I396" s="17">
        <f t="shared" si="73"/>
        <v>3.0211156954958209E-2</v>
      </c>
      <c r="J396" s="17">
        <f t="shared" si="73"/>
        <v>3.2703206628597145E-2</v>
      </c>
      <c r="K396" s="17">
        <f t="shared" si="73"/>
        <v>5.4328493357456611E-2</v>
      </c>
      <c r="L396" s="17">
        <f t="shared" si="73"/>
        <v>7.1873293223198381E-2</v>
      </c>
      <c r="M396" s="17">
        <f t="shared" si="73"/>
        <v>4.1290909054750267E-2</v>
      </c>
    </row>
    <row r="397" spans="6:13" x14ac:dyDescent="0.2">
      <c r="F397">
        <v>1003</v>
      </c>
      <c r="G397">
        <f t="shared" si="69"/>
        <v>1.0029999999999999</v>
      </c>
      <c r="H397">
        <f t="shared" si="71"/>
        <v>730</v>
      </c>
      <c r="I397" s="17">
        <f t="shared" si="73"/>
        <v>3.0214670815872681E-2</v>
      </c>
      <c r="J397" s="17">
        <f t="shared" si="73"/>
        <v>3.2708936212796171E-2</v>
      </c>
      <c r="K397" s="17">
        <f t="shared" si="73"/>
        <v>5.4340364895201221E-2</v>
      </c>
      <c r="L397" s="17">
        <f t="shared" si="73"/>
        <v>7.1912844189685091E-2</v>
      </c>
      <c r="M397" s="17">
        <f t="shared" si="73"/>
        <v>4.1303557848439171E-2</v>
      </c>
    </row>
    <row r="398" spans="6:13" x14ac:dyDescent="0.2">
      <c r="F398">
        <v>1004</v>
      </c>
      <c r="G398">
        <f t="shared" si="69"/>
        <v>1.004</v>
      </c>
      <c r="H398">
        <f t="shared" si="71"/>
        <v>731</v>
      </c>
      <c r="I398" s="17">
        <f t="shared" si="73"/>
        <v>3.0218189915244928E-2</v>
      </c>
      <c r="J398" s="17">
        <f t="shared" si="73"/>
        <v>3.2714659971192425E-2</v>
      </c>
      <c r="K398" s="17">
        <f t="shared" si="73"/>
        <v>5.4352216073534035E-2</v>
      </c>
      <c r="L398" s="17">
        <f t="shared" si="73"/>
        <v>7.19523494181942E-2</v>
      </c>
      <c r="M398" s="17">
        <f t="shared" si="73"/>
        <v>4.1316205463462333E-2</v>
      </c>
    </row>
    <row r="399" spans="6:13" x14ac:dyDescent="0.2">
      <c r="F399">
        <v>1005</v>
      </c>
      <c r="G399">
        <f t="shared" si="69"/>
        <v>1.0049999999999999</v>
      </c>
      <c r="H399">
        <f t="shared" si="71"/>
        <v>732</v>
      </c>
      <c r="I399" s="17">
        <f t="shared" si="73"/>
        <v>3.0221714240177215E-2</v>
      </c>
      <c r="J399" s="17">
        <f t="shared" si="73"/>
        <v>3.272037789956142E-2</v>
      </c>
      <c r="K399" s="17">
        <f t="shared" si="73"/>
        <v>5.4364046943367939E-2</v>
      </c>
      <c r="L399" s="17">
        <f t="shared" si="73"/>
        <v>7.1991808927898873E-2</v>
      </c>
      <c r="M399" s="17">
        <f t="shared" si="73"/>
        <v>4.1328851882675641E-2</v>
      </c>
    </row>
    <row r="400" spans="6:13" x14ac:dyDescent="0.2">
      <c r="F400">
        <v>1006</v>
      </c>
      <c r="G400">
        <f t="shared" si="69"/>
        <v>1.006</v>
      </c>
      <c r="H400">
        <f t="shared" si="71"/>
        <v>733</v>
      </c>
      <c r="I400" s="17">
        <f t="shared" si="73"/>
        <v>3.0225243777753218E-2</v>
      </c>
      <c r="J400" s="17">
        <f t="shared" si="73"/>
        <v>3.2726089993740486E-2</v>
      </c>
      <c r="K400" s="17">
        <f t="shared" si="73"/>
        <v>5.4375857555599739E-2</v>
      </c>
      <c r="L400" s="17">
        <f t="shared" si="73"/>
        <v>7.2031222738051723E-2</v>
      </c>
      <c r="M400" s="17">
        <f t="shared" si="73"/>
        <v>4.1341497088944676E-2</v>
      </c>
    </row>
    <row r="401" spans="6:13" x14ac:dyDescent="0.2">
      <c r="F401">
        <v>1007</v>
      </c>
      <c r="G401">
        <f t="shared" si="69"/>
        <v>1.0069999999999999</v>
      </c>
      <c r="H401">
        <f t="shared" si="71"/>
        <v>734</v>
      </c>
      <c r="I401" s="17">
        <f t="shared" si="73"/>
        <v>3.0228778515038166E-2</v>
      </c>
      <c r="J401" s="17">
        <f t="shared" si="73"/>
        <v>3.2731796249628409E-2</v>
      </c>
      <c r="K401" s="17">
        <f t="shared" si="73"/>
        <v>5.4387647961110411E-2</v>
      </c>
      <c r="L401" s="17">
        <f t="shared" si="73"/>
        <v>7.207059086798441E-2</v>
      </c>
      <c r="M401" s="17">
        <f t="shared" si="73"/>
        <v>4.1354141065144519E-2</v>
      </c>
    </row>
    <row r="402" spans="6:13" x14ac:dyDescent="0.2">
      <c r="F402">
        <v>1008</v>
      </c>
      <c r="G402">
        <f t="shared" si="69"/>
        <v>1.008</v>
      </c>
      <c r="H402">
        <f t="shared" si="71"/>
        <v>735</v>
      </c>
      <c r="I402" s="17">
        <f t="shared" si="73"/>
        <v>3.0232318439078924E-2</v>
      </c>
      <c r="J402" s="17">
        <f t="shared" si="73"/>
        <v>3.2737496663185053E-2</v>
      </c>
      <c r="K402" s="17">
        <f t="shared" si="73"/>
        <v>5.4399418210765035E-2</v>
      </c>
      <c r="L402" s="17">
        <f t="shared" si="73"/>
        <v>7.2109913337107173E-2</v>
      </c>
      <c r="M402" s="17">
        <f t="shared" si="73"/>
        <v>4.136678379415977E-2</v>
      </c>
    </row>
    <row r="403" spans="6:13" x14ac:dyDescent="0.2">
      <c r="F403">
        <v>1009</v>
      </c>
      <c r="G403">
        <f t="shared" si="69"/>
        <v>1.0089999999999999</v>
      </c>
      <c r="H403">
        <f t="shared" si="71"/>
        <v>736</v>
      </c>
      <c r="I403" s="17">
        <f t="shared" si="73"/>
        <v>3.0235863536904085E-2</v>
      </c>
      <c r="J403" s="17">
        <f t="shared" si="73"/>
        <v>3.2743191230430985E-2</v>
      </c>
      <c r="K403" s="17">
        <f t="shared" si="73"/>
        <v>5.4411168355413028E-2</v>
      </c>
      <c r="L403" s="17">
        <f t="shared" si="73"/>
        <v>7.2149190164908325E-2</v>
      </c>
      <c r="M403" s="17">
        <f t="shared" si="73"/>
        <v>4.1379425258884515E-2</v>
      </c>
    </row>
    <row r="404" spans="6:13" x14ac:dyDescent="0.2">
      <c r="F404">
        <v>1010</v>
      </c>
      <c r="G404">
        <f t="shared" si="69"/>
        <v>1.01</v>
      </c>
      <c r="H404">
        <f t="shared" si="71"/>
        <v>737</v>
      </c>
      <c r="I404" s="17">
        <f t="shared" si="73"/>
        <v>3.0239413795524139E-2</v>
      </c>
      <c r="J404" s="17">
        <f t="shared" si="73"/>
        <v>3.2748879947447143E-2</v>
      </c>
      <c r="K404" s="17">
        <f t="shared" si="73"/>
        <v>5.4422898445888136E-2</v>
      </c>
      <c r="L404" s="17">
        <f t="shared" si="73"/>
        <v>7.2188421370953812E-2</v>
      </c>
      <c r="M404" s="17">
        <f t="shared" si="73"/>
        <v>4.139206544222223E-2</v>
      </c>
    </row>
    <row r="405" spans="6:13" x14ac:dyDescent="0.2">
      <c r="F405">
        <v>1011</v>
      </c>
      <c r="G405">
        <f t="shared" si="69"/>
        <v>1.0109999999999999</v>
      </c>
      <c r="H405">
        <f t="shared" si="71"/>
        <v>738</v>
      </c>
      <c r="I405" s="17">
        <f t="shared" si="73"/>
        <v>3.0242969201931532E-2</v>
      </c>
      <c r="J405" s="17">
        <f t="shared" si="73"/>
        <v>3.2754562810374442E-2</v>
      </c>
      <c r="K405" s="17">
        <f t="shared" si="73"/>
        <v>5.4434608533008591E-2</v>
      </c>
      <c r="L405" s="17">
        <f t="shared" si="73"/>
        <v>7.2227606974886727E-2</v>
      </c>
      <c r="M405" s="17">
        <f t="shared" si="73"/>
        <v>4.1404704327085706E-2</v>
      </c>
    </row>
    <row r="406" spans="6:13" x14ac:dyDescent="0.2">
      <c r="F406">
        <v>1012</v>
      </c>
      <c r="G406">
        <f t="shared" si="69"/>
        <v>1.012</v>
      </c>
      <c r="H406">
        <f t="shared" si="71"/>
        <v>739</v>
      </c>
      <c r="I406" s="17">
        <f t="shared" si="73"/>
        <v>3.0246529743100787E-2</v>
      </c>
      <c r="J406" s="17">
        <f t="shared" si="73"/>
        <v>3.2760239815413483E-2</v>
      </c>
      <c r="K406" s="17">
        <f t="shared" si="73"/>
        <v>5.444629866757715E-2</v>
      </c>
      <c r="L406" s="17">
        <f t="shared" si="73"/>
        <v>7.226674699642692E-2</v>
      </c>
      <c r="M406" s="17">
        <f t="shared" si="73"/>
        <v>4.1417341896397022E-2</v>
      </c>
    </row>
    <row r="407" spans="6:13" x14ac:dyDescent="0.2">
      <c r="F407">
        <v>1013</v>
      </c>
      <c r="G407">
        <f t="shared" si="69"/>
        <v>1.0129999999999999</v>
      </c>
      <c r="H407">
        <f t="shared" si="71"/>
        <v>740</v>
      </c>
      <c r="I407" s="17">
        <f t="shared" ref="I407:M422" si="74">(I$159+I$160*$G407+I$161*($G407^2)+I$162*($G407^3)+I$163/($G407^2))/1000</f>
        <v>3.0250095405988602E-2</v>
      </c>
      <c r="J407" s="17">
        <f t="shared" si="74"/>
        <v>3.276591095882412E-2</v>
      </c>
      <c r="K407" s="17">
        <f t="shared" si="74"/>
        <v>5.4457968900381244E-2</v>
      </c>
      <c r="L407" s="17">
        <f t="shared" si="74"/>
        <v>7.230584145537039E-2</v>
      </c>
      <c r="M407" s="17">
        <f t="shared" si="74"/>
        <v>4.1429978133087512E-2</v>
      </c>
    </row>
    <row r="408" spans="6:13" x14ac:dyDescent="0.2">
      <c r="F408">
        <v>1014</v>
      </c>
      <c r="G408">
        <f t="shared" si="69"/>
        <v>1.014</v>
      </c>
      <c r="H408">
        <f t="shared" si="71"/>
        <v>741</v>
      </c>
      <c r="I408" s="17">
        <f t="shared" si="74"/>
        <v>3.0253666177533969E-2</v>
      </c>
      <c r="J408" s="17">
        <f t="shared" si="74"/>
        <v>3.277157623692515E-2</v>
      </c>
      <c r="K408" s="17">
        <f t="shared" si="74"/>
        <v>5.4469619282193023E-2</v>
      </c>
      <c r="L408" s="17">
        <f t="shared" si="74"/>
        <v>7.2344890371589102E-2</v>
      </c>
      <c r="M408" s="17">
        <f t="shared" si="74"/>
        <v>4.1442613020097677E-2</v>
      </c>
    </row>
    <row r="409" spans="6:13" x14ac:dyDescent="0.2">
      <c r="F409">
        <v>1015</v>
      </c>
      <c r="G409">
        <f t="shared" si="69"/>
        <v>1.0149999999999999</v>
      </c>
      <c r="H409">
        <f t="shared" si="71"/>
        <v>742</v>
      </c>
      <c r="I409" s="17">
        <f t="shared" si="74"/>
        <v>3.0257242044658256E-2</v>
      </c>
      <c r="J409" s="17">
        <f t="shared" si="74"/>
        <v>3.2777235646093986E-2</v>
      </c>
      <c r="K409" s="17">
        <f t="shared" si="74"/>
        <v>5.4481249863769482E-2</v>
      </c>
      <c r="L409" s="17">
        <f t="shared" si="74"/>
        <v>7.2383893765030252E-2</v>
      </c>
      <c r="M409" s="17">
        <f t="shared" si="74"/>
        <v>4.1455246540377133E-2</v>
      </c>
    </row>
    <row r="410" spans="6:13" x14ac:dyDescent="0.2">
      <c r="F410">
        <v>1016</v>
      </c>
      <c r="G410">
        <f t="shared" si="69"/>
        <v>1.016</v>
      </c>
      <c r="H410">
        <f t="shared" si="71"/>
        <v>743</v>
      </c>
      <c r="I410" s="17">
        <f t="shared" si="74"/>
        <v>3.0260822994265361E-2</v>
      </c>
      <c r="J410" s="17">
        <f t="shared" si="74"/>
        <v>3.2782889182766242E-2</v>
      </c>
      <c r="K410" s="17">
        <f t="shared" si="74"/>
        <v>5.4492860695852491E-2</v>
      </c>
      <c r="L410" s="17">
        <f t="shared" si="74"/>
        <v>7.2422851655715964E-2</v>
      </c>
      <c r="M410" s="17">
        <f t="shared" si="74"/>
        <v>4.1467878676884548E-2</v>
      </c>
    </row>
    <row r="411" spans="6:13" x14ac:dyDescent="0.2">
      <c r="F411">
        <v>1017</v>
      </c>
      <c r="G411">
        <f t="shared" si="69"/>
        <v>1.0169999999999999</v>
      </c>
      <c r="H411">
        <f t="shared" si="71"/>
        <v>744</v>
      </c>
      <c r="I411" s="17">
        <f t="shared" si="74"/>
        <v>3.026440901324174E-2</v>
      </c>
      <c r="J411" s="17">
        <f t="shared" si="74"/>
        <v>3.2788536843435488E-2</v>
      </c>
      <c r="K411" s="17">
        <f t="shared" si="74"/>
        <v>5.4504451829168986E-2</v>
      </c>
      <c r="L411" s="17">
        <f t="shared" si="74"/>
        <v>7.246176406374287E-2</v>
      </c>
      <c r="M411" s="17">
        <f t="shared" si="74"/>
        <v>4.148050941258765E-2</v>
      </c>
    </row>
    <row r="412" spans="6:13" x14ac:dyDescent="0.2">
      <c r="F412">
        <v>1018</v>
      </c>
      <c r="G412">
        <f t="shared" si="69"/>
        <v>1.018</v>
      </c>
      <c r="H412">
        <f t="shared" si="71"/>
        <v>745</v>
      </c>
      <c r="I412" s="17">
        <f t="shared" si="74"/>
        <v>3.0268000088456582E-2</v>
      </c>
      <c r="J412" s="17">
        <f t="shared" si="74"/>
        <v>3.2794178624652823E-2</v>
      </c>
      <c r="K412" s="17">
        <f t="shared" si="74"/>
        <v>5.4516023314430936E-2</v>
      </c>
      <c r="L412" s="17">
        <f t="shared" si="74"/>
        <v>7.2500631009281613E-2</v>
      </c>
      <c r="M412" s="17">
        <f t="shared" si="74"/>
        <v>4.1493138730463085E-2</v>
      </c>
    </row>
    <row r="413" spans="6:13" x14ac:dyDescent="0.2">
      <c r="F413">
        <v>1019</v>
      </c>
      <c r="G413">
        <f t="shared" si="69"/>
        <v>1.0189999999999999</v>
      </c>
      <c r="H413">
        <f t="shared" si="71"/>
        <v>746</v>
      </c>
      <c r="I413" s="17">
        <f t="shared" si="74"/>
        <v>3.0271596206761859E-2</v>
      </c>
      <c r="J413" s="17">
        <f t="shared" si="74"/>
        <v>3.2799814523026563E-2</v>
      </c>
      <c r="K413" s="17">
        <f t="shared" si="74"/>
        <v>5.4527575202335525E-2</v>
      </c>
      <c r="L413" s="17">
        <f t="shared" si="74"/>
        <v>7.2539452512576444E-2</v>
      </c>
      <c r="M413" s="17">
        <f t="shared" si="74"/>
        <v>4.1505766613496427E-2</v>
      </c>
    </row>
    <row r="414" spans="6:13" x14ac:dyDescent="0.2">
      <c r="F414">
        <v>1020</v>
      </c>
      <c r="G414">
        <f t="shared" si="69"/>
        <v>1.02</v>
      </c>
      <c r="H414">
        <f t="shared" si="71"/>
        <v>747</v>
      </c>
      <c r="I414" s="17">
        <f t="shared" si="74"/>
        <v>3.027519735499247E-2</v>
      </c>
      <c r="J414" s="17">
        <f t="shared" si="74"/>
        <v>3.2805444535221946E-2</v>
      </c>
      <c r="K414" s="17">
        <f t="shared" si="74"/>
        <v>5.453910754356521E-2</v>
      </c>
      <c r="L414" s="17">
        <f t="shared" si="74"/>
        <v>7.2578228593944763E-2</v>
      </c>
      <c r="M414" s="17">
        <f t="shared" si="74"/>
        <v>4.1518393044682113E-2</v>
      </c>
    </row>
    <row r="415" spans="6:13" x14ac:dyDescent="0.2">
      <c r="F415">
        <v>1021</v>
      </c>
      <c r="G415">
        <f t="shared" si="69"/>
        <v>1.0209999999999999</v>
      </c>
      <c r="H415">
        <f t="shared" si="71"/>
        <v>748</v>
      </c>
      <c r="I415" s="17">
        <f t="shared" si="74"/>
        <v>3.0278803519966289E-2</v>
      </c>
      <c r="J415" s="17">
        <f t="shared" si="74"/>
        <v>3.2811068657960699E-2</v>
      </c>
      <c r="K415" s="17">
        <f t="shared" si="74"/>
        <v>5.4550620388787746E-2</v>
      </c>
      <c r="L415" s="17">
        <f t="shared" si="74"/>
        <v>7.2616959273776677E-2</v>
      </c>
      <c r="M415" s="17">
        <f t="shared" si="74"/>
        <v>4.153101800702335E-2</v>
      </c>
    </row>
    <row r="416" spans="6:13" x14ac:dyDescent="0.2">
      <c r="F416">
        <v>1022</v>
      </c>
      <c r="G416">
        <f t="shared" si="69"/>
        <v>1.022</v>
      </c>
      <c r="H416">
        <f t="shared" si="71"/>
        <v>749</v>
      </c>
      <c r="I416" s="17">
        <f t="shared" si="74"/>
        <v>3.0282414688484319E-2</v>
      </c>
      <c r="J416" s="17">
        <f t="shared" si="74"/>
        <v>3.2816686888020828E-2</v>
      </c>
      <c r="K416" s="17">
        <f t="shared" si="74"/>
        <v>5.4562113788656434E-2</v>
      </c>
      <c r="L416" s="17">
        <f t="shared" si="74"/>
        <v>7.265564457253465E-2</v>
      </c>
      <c r="M416" s="17">
        <f t="shared" si="74"/>
        <v>4.1543641483532151E-2</v>
      </c>
    </row>
    <row r="417" spans="6:13" x14ac:dyDescent="0.2">
      <c r="F417">
        <v>1023</v>
      </c>
      <c r="G417">
        <f t="shared" si="69"/>
        <v>1.0229999999999999</v>
      </c>
      <c r="H417">
        <f t="shared" si="71"/>
        <v>750</v>
      </c>
      <c r="I417" s="17">
        <f t="shared" si="74"/>
        <v>3.0286030847330742E-2</v>
      </c>
      <c r="J417" s="17">
        <f t="shared" si="74"/>
        <v>3.2822299222236208E-2</v>
      </c>
      <c r="K417" s="17">
        <f t="shared" si="74"/>
        <v>5.4573587793809962E-2</v>
      </c>
      <c r="L417" s="17">
        <f t="shared" si="74"/>
        <v>7.2694284510753021E-2</v>
      </c>
      <c r="M417" s="17">
        <f t="shared" si="74"/>
        <v>4.1556263457229181E-2</v>
      </c>
    </row>
    <row r="418" spans="6:13" x14ac:dyDescent="0.2">
      <c r="F418">
        <v>1024</v>
      </c>
      <c r="G418">
        <f t="shared" si="69"/>
        <v>1.024</v>
      </c>
      <c r="H418">
        <f t="shared" si="71"/>
        <v>751</v>
      </c>
      <c r="I418" s="17">
        <f t="shared" si="74"/>
        <v>3.0289651983273082E-2</v>
      </c>
      <c r="J418" s="17">
        <f t="shared" si="74"/>
        <v>3.2827905657496277E-2</v>
      </c>
      <c r="K418" s="17">
        <f t="shared" si="74"/>
        <v>5.4585042454872779E-2</v>
      </c>
      <c r="L418" s="17">
        <f t="shared" si="74"/>
        <v>7.2732879109037529E-2</v>
      </c>
      <c r="M418" s="17">
        <f t="shared" si="74"/>
        <v>4.1568883911143766E-2</v>
      </c>
    </row>
    <row r="419" spans="6:13" x14ac:dyDescent="0.2">
      <c r="F419">
        <v>1025</v>
      </c>
      <c r="G419">
        <f t="shared" si="69"/>
        <v>1.0249999999999999</v>
      </c>
      <c r="H419">
        <f t="shared" si="71"/>
        <v>752</v>
      </c>
      <c r="I419" s="17">
        <f t="shared" si="74"/>
        <v>3.0293278083062227E-2</v>
      </c>
      <c r="J419" s="17">
        <f t="shared" si="74"/>
        <v>3.2833506190745688E-2</v>
      </c>
      <c r="K419" s="17">
        <f t="shared" si="74"/>
        <v>5.4596477822454886E-2</v>
      </c>
      <c r="L419" s="17">
        <f t="shared" si="74"/>
        <v>7.2771428388065038E-2</v>
      </c>
      <c r="M419" s="17">
        <f t="shared" si="74"/>
        <v>4.1581502828313882E-2</v>
      </c>
    </row>
    <row r="420" spans="6:13" x14ac:dyDescent="0.2">
      <c r="F420">
        <v>1026</v>
      </c>
      <c r="G420">
        <f t="shared" si="69"/>
        <v>1.026</v>
      </c>
      <c r="H420">
        <f t="shared" si="71"/>
        <v>753</v>
      </c>
      <c r="I420" s="17">
        <f t="shared" si="74"/>
        <v>3.029690913343256E-2</v>
      </c>
      <c r="J420" s="17">
        <f t="shared" si="74"/>
        <v>3.2839100818984043E-2</v>
      </c>
      <c r="K420" s="17">
        <f t="shared" si="74"/>
        <v>5.4607893947152188E-2</v>
      </c>
      <c r="L420" s="17">
        <f t="shared" si="74"/>
        <v>7.2809932368583005E-2</v>
      </c>
      <c r="M420" s="17">
        <f t="shared" si="74"/>
        <v>4.1594120191785967E-2</v>
      </c>
    </row>
    <row r="421" spans="6:13" x14ac:dyDescent="0.2">
      <c r="F421">
        <v>1027</v>
      </c>
      <c r="G421">
        <f t="shared" si="69"/>
        <v>1.0269999999999999</v>
      </c>
      <c r="H421">
        <f t="shared" si="71"/>
        <v>754</v>
      </c>
      <c r="I421" s="17">
        <f t="shared" si="74"/>
        <v>3.0300545121102081E-2</v>
      </c>
      <c r="J421" s="17">
        <f t="shared" si="74"/>
        <v>3.2844689539265545E-2</v>
      </c>
      <c r="K421" s="17">
        <f t="shared" si="74"/>
        <v>5.4619290879546332E-2</v>
      </c>
      <c r="L421" s="17">
        <f t="shared" si="74"/>
        <v>7.2848391071409072E-2</v>
      </c>
      <c r="M421" s="17">
        <f t="shared" si="74"/>
        <v>4.1606735984615027E-2</v>
      </c>
    </row>
    <row r="422" spans="6:13" x14ac:dyDescent="0.2">
      <c r="F422">
        <v>1028</v>
      </c>
      <c r="G422">
        <f t="shared" si="69"/>
        <v>1.028</v>
      </c>
      <c r="H422">
        <f t="shared" si="71"/>
        <v>755</v>
      </c>
      <c r="I422" s="17">
        <f t="shared" si="74"/>
        <v>3.0304186032772476E-2</v>
      </c>
      <c r="J422" s="17">
        <f t="shared" si="74"/>
        <v>3.2850272348698625E-2</v>
      </c>
      <c r="K422" s="17">
        <f t="shared" si="74"/>
        <v>5.4630668670205031E-2</v>
      </c>
      <c r="L422" s="17">
        <f t="shared" si="74"/>
        <v>7.2886804517430737E-2</v>
      </c>
      <c r="M422" s="17">
        <f t="shared" si="74"/>
        <v>4.1619350189864492E-2</v>
      </c>
    </row>
    <row r="423" spans="6:13" x14ac:dyDescent="0.2">
      <c r="F423">
        <v>1029</v>
      </c>
      <c r="G423">
        <f t="shared" ref="G423:G486" si="75">F423/1000</f>
        <v>1.0289999999999999</v>
      </c>
      <c r="H423">
        <f t="shared" si="71"/>
        <v>756</v>
      </c>
      <c r="I423" s="17">
        <f t="shared" ref="I423:M438" si="76">(I$159+I$160*$G423+I$161*($G423^2)+I$162*($G423^3)+I$163/($G423^2))/1000</f>
        <v>3.030783185512919E-2</v>
      </c>
      <c r="J423" s="17">
        <f t="shared" si="76"/>
        <v>3.2855849244445713E-2</v>
      </c>
      <c r="K423" s="17">
        <f t="shared" si="76"/>
        <v>5.4642027369681906E-2</v>
      </c>
      <c r="L423" s="17">
        <f t="shared" si="76"/>
        <v>7.2925172727604862E-2</v>
      </c>
      <c r="M423" s="17">
        <f t="shared" si="76"/>
        <v>4.1631962790606193E-2</v>
      </c>
    </row>
    <row r="424" spans="6:13" x14ac:dyDescent="0.2">
      <c r="F424">
        <v>1030</v>
      </c>
      <c r="G424">
        <f t="shared" si="75"/>
        <v>1.03</v>
      </c>
      <c r="H424">
        <f t="shared" si="71"/>
        <v>757</v>
      </c>
      <c r="I424" s="17">
        <f t="shared" si="76"/>
        <v>3.0311482574841574E-2</v>
      </c>
      <c r="J424" s="17">
        <f t="shared" si="76"/>
        <v>3.2861420223722876E-2</v>
      </c>
      <c r="K424" s="17">
        <f t="shared" si="76"/>
        <v>5.4653367028516787E-2</v>
      </c>
      <c r="L424" s="17">
        <f t="shared" si="76"/>
        <v>7.2963495722957364E-2</v>
      </c>
      <c r="M424" s="17">
        <f t="shared" si="76"/>
        <v>4.1644573769920333E-2</v>
      </c>
    </row>
    <row r="425" spans="6:13" x14ac:dyDescent="0.2">
      <c r="F425">
        <v>1031</v>
      </c>
      <c r="G425">
        <f t="shared" si="75"/>
        <v>1.0309999999999999</v>
      </c>
      <c r="H425">
        <f t="shared" ref="H425:H488" si="77">F425-273</f>
        <v>758</v>
      </c>
      <c r="I425" s="17">
        <f t="shared" si="76"/>
        <v>3.0315138178562927E-2</v>
      </c>
      <c r="J425" s="17">
        <f t="shared" si="76"/>
        <v>3.2866985283799499E-2</v>
      </c>
      <c r="K425" s="17">
        <f t="shared" si="76"/>
        <v>5.4664687697235606E-2</v>
      </c>
      <c r="L425" s="17">
        <f t="shared" si="76"/>
        <v>7.3001773524582633E-2</v>
      </c>
      <c r="M425" s="17">
        <f t="shared" si="76"/>
        <v>4.1657183110895384E-2</v>
      </c>
    </row>
    <row r="426" spans="6:13" x14ac:dyDescent="0.2">
      <c r="F426">
        <v>1032</v>
      </c>
      <c r="G426">
        <f t="shared" si="75"/>
        <v>1.032</v>
      </c>
      <c r="H426">
        <f t="shared" si="77"/>
        <v>759</v>
      </c>
      <c r="I426" s="17">
        <f t="shared" si="76"/>
        <v>3.0318798652930631E-2</v>
      </c>
      <c r="J426" s="17">
        <f t="shared" si="76"/>
        <v>3.287254442199803E-2</v>
      </c>
      <c r="K426" s="17">
        <f t="shared" si="76"/>
        <v>5.4675989426350644E-2</v>
      </c>
      <c r="L426" s="17">
        <f t="shared" si="76"/>
        <v>7.3040006153643394E-2</v>
      </c>
      <c r="M426" s="17">
        <f t="shared" si="76"/>
        <v>4.1669790796628088E-2</v>
      </c>
    </row>
    <row r="427" spans="6:13" x14ac:dyDescent="0.2">
      <c r="F427">
        <v>1033</v>
      </c>
      <c r="G427">
        <f t="shared" si="75"/>
        <v>1.0329999999999999</v>
      </c>
      <c r="H427">
        <f t="shared" si="77"/>
        <v>760</v>
      </c>
      <c r="I427" s="17">
        <f t="shared" si="76"/>
        <v>3.0322463984566228E-2</v>
      </c>
      <c r="J427" s="17">
        <f t="shared" si="76"/>
        <v>3.2878097635693562E-2</v>
      </c>
      <c r="K427" s="17">
        <f t="shared" si="76"/>
        <v>5.4687272266360436E-2</v>
      </c>
      <c r="L427" s="17">
        <f t="shared" si="76"/>
        <v>7.3078193631370053E-2</v>
      </c>
      <c r="M427" s="17">
        <f t="shared" si="76"/>
        <v>4.1682396810223399E-2</v>
      </c>
    </row>
    <row r="428" spans="6:13" x14ac:dyDescent="0.2">
      <c r="F428">
        <v>1034</v>
      </c>
      <c r="G428">
        <f t="shared" si="75"/>
        <v>1.034</v>
      </c>
      <c r="H428">
        <f t="shared" si="77"/>
        <v>761</v>
      </c>
      <c r="I428" s="17">
        <f t="shared" si="76"/>
        <v>3.0326134160075499E-2</v>
      </c>
      <c r="J428" s="17">
        <f t="shared" si="76"/>
        <v>3.288364492231368E-2</v>
      </c>
      <c r="K428" s="17">
        <f t="shared" si="76"/>
        <v>5.469853626775005E-2</v>
      </c>
      <c r="L428" s="17">
        <f t="shared" si="76"/>
        <v>7.3116335979060504E-2</v>
      </c>
      <c r="M428" s="17">
        <f t="shared" si="76"/>
        <v>4.1695001134794421E-2</v>
      </c>
    </row>
    <row r="429" spans="6:13" x14ac:dyDescent="0.2">
      <c r="F429">
        <v>1035</v>
      </c>
      <c r="G429">
        <f t="shared" si="75"/>
        <v>1.0349999999999999</v>
      </c>
      <c r="H429">
        <f t="shared" si="77"/>
        <v>762</v>
      </c>
      <c r="I429" s="17">
        <f t="shared" si="76"/>
        <v>3.032980916604856E-2</v>
      </c>
      <c r="J429" s="17">
        <f t="shared" si="76"/>
        <v>3.2889186279338019E-2</v>
      </c>
      <c r="K429" s="17">
        <f t="shared" si="76"/>
        <v>5.4709781480990954E-2</v>
      </c>
      <c r="L429" s="17">
        <f t="shared" si="76"/>
        <v>7.3154433218079615E-2</v>
      </c>
      <c r="M429" s="17">
        <f t="shared" si="76"/>
        <v>4.1707603753462393E-2</v>
      </c>
    </row>
    <row r="430" spans="6:13" x14ac:dyDescent="0.2">
      <c r="F430">
        <v>1036</v>
      </c>
      <c r="G430">
        <f t="shared" si="75"/>
        <v>1.036</v>
      </c>
      <c r="H430">
        <f t="shared" si="77"/>
        <v>763</v>
      </c>
      <c r="I430" s="17">
        <f t="shared" si="76"/>
        <v>3.0333488989059961E-2</v>
      </c>
      <c r="J430" s="17">
        <f t="shared" si="76"/>
        <v>3.2894721704298024E-2</v>
      </c>
      <c r="K430" s="17">
        <f t="shared" si="76"/>
        <v>5.4721007956541313E-2</v>
      </c>
      <c r="L430" s="17">
        <f t="shared" si="76"/>
        <v>7.3192485369858923E-2</v>
      </c>
      <c r="M430" s="17">
        <f t="shared" si="76"/>
        <v>4.1720204649356586E-2</v>
      </c>
    </row>
    <row r="431" spans="6:13" x14ac:dyDescent="0.2">
      <c r="F431">
        <v>1037</v>
      </c>
      <c r="G431">
        <f t="shared" si="75"/>
        <v>1.0369999999999999</v>
      </c>
      <c r="H431">
        <f t="shared" si="77"/>
        <v>764</v>
      </c>
      <c r="I431" s="17">
        <f t="shared" si="76"/>
        <v>3.0337173615668799E-2</v>
      </c>
      <c r="J431" s="17">
        <f t="shared" si="76"/>
        <v>3.2900251194776672E-2</v>
      </c>
      <c r="K431" s="17">
        <f t="shared" si="76"/>
        <v>5.4732215744845825E-2</v>
      </c>
      <c r="L431" s="17">
        <f t="shared" si="76"/>
        <v>7.3230492455896148E-2</v>
      </c>
      <c r="M431" s="17">
        <f t="shared" si="76"/>
        <v>4.173280380561431E-2</v>
      </c>
    </row>
    <row r="432" spans="6:13" x14ac:dyDescent="0.2">
      <c r="F432">
        <v>1038</v>
      </c>
      <c r="G432">
        <f t="shared" si="75"/>
        <v>1.038</v>
      </c>
      <c r="H432">
        <f t="shared" si="77"/>
        <v>765</v>
      </c>
      <c r="I432" s="17">
        <f t="shared" si="76"/>
        <v>3.0340863032418758E-2</v>
      </c>
      <c r="J432" s="17">
        <f t="shared" si="76"/>
        <v>3.2905774748408119E-2</v>
      </c>
      <c r="K432" s="17">
        <f t="shared" si="76"/>
        <v>5.4743404896336022E-2</v>
      </c>
      <c r="L432" s="17">
        <f t="shared" si="76"/>
        <v>7.3268454497754876E-2</v>
      </c>
      <c r="M432" s="17">
        <f t="shared" si="76"/>
        <v>4.174540120538086E-2</v>
      </c>
    </row>
    <row r="433" spans="6:13" x14ac:dyDescent="0.2">
      <c r="F433">
        <v>1039</v>
      </c>
      <c r="G433">
        <f t="shared" si="75"/>
        <v>1.0389999999999999</v>
      </c>
      <c r="H433">
        <f t="shared" si="77"/>
        <v>766</v>
      </c>
      <c r="I433" s="17">
        <f t="shared" si="76"/>
        <v>3.0344557225838203E-2</v>
      </c>
      <c r="J433" s="17">
        <f t="shared" si="76"/>
        <v>3.2911292362877459E-2</v>
      </c>
      <c r="K433" s="17">
        <f t="shared" si="76"/>
        <v>5.4754575461430248E-2</v>
      </c>
      <c r="L433" s="17">
        <f t="shared" si="76"/>
        <v>7.3306371517064234E-2</v>
      </c>
      <c r="M433" s="17">
        <f t="shared" si="76"/>
        <v>4.1757996831809405E-2</v>
      </c>
    </row>
    <row r="434" spans="6:13" x14ac:dyDescent="0.2">
      <c r="F434">
        <v>1040</v>
      </c>
      <c r="G434">
        <f t="shared" si="75"/>
        <v>1.04</v>
      </c>
      <c r="H434">
        <f t="shared" si="77"/>
        <v>767</v>
      </c>
      <c r="I434" s="17">
        <f t="shared" si="76"/>
        <v>3.0348256182440331E-2</v>
      </c>
      <c r="J434" s="17">
        <f t="shared" si="76"/>
        <v>3.2916804035920379E-2</v>
      </c>
      <c r="K434" s="17">
        <f t="shared" si="76"/>
        <v>5.4765727490533676E-2</v>
      </c>
      <c r="L434" s="17">
        <f t="shared" si="76"/>
        <v>7.3344243535518383E-2</v>
      </c>
      <c r="M434" s="17">
        <f t="shared" si="76"/>
        <v>4.1770590668061061E-2</v>
      </c>
    </row>
    <row r="435" spans="6:13" x14ac:dyDescent="0.2">
      <c r="F435">
        <v>1041</v>
      </c>
      <c r="G435">
        <f t="shared" si="75"/>
        <v>1.0409999999999999</v>
      </c>
      <c r="H435">
        <f t="shared" si="77"/>
        <v>768</v>
      </c>
      <c r="I435" s="17">
        <f t="shared" si="76"/>
        <v>3.035195988872319E-2</v>
      </c>
      <c r="J435" s="17">
        <f t="shared" si="76"/>
        <v>3.2922309765322899E-2</v>
      </c>
      <c r="K435" s="17">
        <f t="shared" si="76"/>
        <v>5.4776861034038511E-2</v>
      </c>
      <c r="L435" s="17">
        <f t="shared" si="76"/>
        <v>7.3382070574876279E-2</v>
      </c>
      <c r="M435" s="17">
        <f t="shared" si="76"/>
        <v>4.1783182697304737E-2</v>
      </c>
    </row>
    <row r="436" spans="6:13" x14ac:dyDescent="0.2">
      <c r="F436">
        <v>1042</v>
      </c>
      <c r="G436">
        <f t="shared" si="75"/>
        <v>1.042</v>
      </c>
      <c r="H436">
        <f t="shared" si="77"/>
        <v>769</v>
      </c>
      <c r="I436" s="17">
        <f t="shared" si="76"/>
        <v>3.0355668331169802E-2</v>
      </c>
      <c r="J436" s="17">
        <f t="shared" si="76"/>
        <v>3.2927809548921091E-2</v>
      </c>
      <c r="K436" s="17">
        <f t="shared" si="76"/>
        <v>5.4787976142323919E-2</v>
      </c>
      <c r="L436" s="17">
        <f t="shared" si="76"/>
        <v>7.3419852656961118E-2</v>
      </c>
      <c r="M436" s="17">
        <f t="shared" si="76"/>
        <v>4.1795772902717132E-2</v>
      </c>
    </row>
    <row r="437" spans="6:13" x14ac:dyDescent="0.2">
      <c r="F437">
        <v>1043</v>
      </c>
      <c r="G437">
        <f t="shared" si="75"/>
        <v>1.0429999999999999</v>
      </c>
      <c r="H437">
        <f t="shared" si="77"/>
        <v>770</v>
      </c>
      <c r="I437" s="17">
        <f t="shared" si="76"/>
        <v>3.0359381496248207E-2</v>
      </c>
      <c r="J437" s="17">
        <f t="shared" si="76"/>
        <v>3.2933303384600751E-2</v>
      </c>
      <c r="K437" s="17">
        <f t="shared" si="76"/>
        <v>5.4799072865756297E-2</v>
      </c>
      <c r="L437" s="17">
        <f t="shared" si="76"/>
        <v>7.3457589803660239E-2</v>
      </c>
      <c r="M437" s="17">
        <f t="shared" si="76"/>
        <v>4.1808361267482712E-2</v>
      </c>
    </row>
    <row r="438" spans="6:13" x14ac:dyDescent="0.2">
      <c r="F438">
        <v>1044</v>
      </c>
      <c r="G438">
        <f t="shared" si="75"/>
        <v>1.044</v>
      </c>
      <c r="H438">
        <f t="shared" si="77"/>
        <v>771</v>
      </c>
      <c r="I438" s="17">
        <f t="shared" si="76"/>
        <v>3.0363099370411619E-2</v>
      </c>
      <c r="J438" s="17">
        <f t="shared" si="76"/>
        <v>3.2938791270297176E-2</v>
      </c>
      <c r="K438" s="17">
        <f t="shared" si="76"/>
        <v>5.4810151254689125E-2</v>
      </c>
      <c r="L438" s="17">
        <f t="shared" si="76"/>
        <v>7.3495282036924445E-2</v>
      </c>
      <c r="M438" s="17">
        <f t="shared" si="76"/>
        <v>4.1820947774793629E-2</v>
      </c>
    </row>
    <row r="439" spans="6:13" x14ac:dyDescent="0.2">
      <c r="F439">
        <v>1045</v>
      </c>
      <c r="G439">
        <f t="shared" si="75"/>
        <v>1.0449999999999999</v>
      </c>
      <c r="H439">
        <f t="shared" si="77"/>
        <v>772</v>
      </c>
      <c r="I439" s="17">
        <f t="shared" ref="I439:M454" si="78">(I$159+I$160*$G439+I$161*($G439^2)+I$162*($G439^3)+I$163/($G439^2))/1000</f>
        <v>3.0366821940098453E-2</v>
      </c>
      <c r="J439" s="17">
        <f t="shared" si="78"/>
        <v>3.2944273203994789E-2</v>
      </c>
      <c r="K439" s="17">
        <f t="shared" si="78"/>
        <v>5.4821211359463204E-2</v>
      </c>
      <c r="L439" s="17">
        <f t="shared" si="78"/>
        <v>7.3532929378767889E-2</v>
      </c>
      <c r="M439" s="17">
        <f t="shared" si="78"/>
        <v>4.1833532407849684E-2</v>
      </c>
    </row>
    <row r="440" spans="6:13" x14ac:dyDescent="0.2">
      <c r="F440">
        <v>1046</v>
      </c>
      <c r="G440">
        <f t="shared" si="75"/>
        <v>1.046</v>
      </c>
      <c r="H440">
        <f t="shared" si="77"/>
        <v>773</v>
      </c>
      <c r="I440" s="17">
        <f t="shared" si="78"/>
        <v>3.0370549191732432E-2</v>
      </c>
      <c r="J440" s="17">
        <f t="shared" si="78"/>
        <v>3.2949749183726958E-2</v>
      </c>
      <c r="K440" s="17">
        <f t="shared" si="78"/>
        <v>5.483225323040665E-2</v>
      </c>
      <c r="L440" s="17">
        <f t="shared" si="78"/>
        <v>7.3570531851267593E-2</v>
      </c>
      <c r="M440" s="17">
        <f t="shared" si="78"/>
        <v>4.1846115149858323E-2</v>
      </c>
    </row>
    <row r="441" spans="6:13" x14ac:dyDescent="0.2">
      <c r="F441">
        <v>1047</v>
      </c>
      <c r="G441">
        <f t="shared" si="75"/>
        <v>1.0469999999999999</v>
      </c>
      <c r="H441">
        <f t="shared" si="77"/>
        <v>774</v>
      </c>
      <c r="I441" s="17">
        <f t="shared" si="78"/>
        <v>3.0374281111722676E-2</v>
      </c>
      <c r="J441" s="17">
        <f t="shared" si="78"/>
        <v>3.2955219207575652E-2</v>
      </c>
      <c r="K441" s="17">
        <f t="shared" si="78"/>
        <v>5.4843276917835006E-2</v>
      </c>
      <c r="L441" s="17">
        <f t="shared" si="78"/>
        <v>7.3608089476563041E-2</v>
      </c>
      <c r="M441" s="17">
        <f t="shared" si="78"/>
        <v>4.1858695984034515E-2</v>
      </c>
    </row>
    <row r="442" spans="6:13" x14ac:dyDescent="0.2">
      <c r="F442">
        <v>1048</v>
      </c>
      <c r="G442">
        <f t="shared" si="75"/>
        <v>1.048</v>
      </c>
      <c r="H442">
        <f t="shared" si="77"/>
        <v>775</v>
      </c>
      <c r="I442" s="17">
        <f t="shared" si="78"/>
        <v>3.0378017686463758E-2</v>
      </c>
      <c r="J442" s="17">
        <f t="shared" si="78"/>
        <v>3.2960683273671167E-2</v>
      </c>
      <c r="K442" s="17">
        <f t="shared" si="78"/>
        <v>5.485428247205127E-2</v>
      </c>
      <c r="L442" s="17">
        <f t="shared" si="78"/>
        <v>7.3645602276855987E-2</v>
      </c>
      <c r="M442" s="17">
        <f t="shared" si="78"/>
        <v>4.1871274893600804E-2</v>
      </c>
    </row>
    <row r="443" spans="6:13" x14ac:dyDescent="0.2">
      <c r="F443">
        <v>1049</v>
      </c>
      <c r="G443">
        <f t="shared" si="75"/>
        <v>1.0489999999999999</v>
      </c>
      <c r="H443">
        <f t="shared" si="77"/>
        <v>776</v>
      </c>
      <c r="I443" s="17">
        <f t="shared" si="78"/>
        <v>3.0381758902335822E-2</v>
      </c>
      <c r="J443" s="17">
        <f t="shared" si="78"/>
        <v>3.2966141380191882E-2</v>
      </c>
      <c r="K443" s="17">
        <f t="shared" si="78"/>
        <v>5.4865269943346021E-2</v>
      </c>
      <c r="L443" s="17">
        <f t="shared" si="78"/>
        <v>7.3683070274409929E-2</v>
      </c>
      <c r="M443" s="17">
        <f t="shared" si="78"/>
        <v>4.1883851861787176E-2</v>
      </c>
    </row>
    <row r="444" spans="6:13" x14ac:dyDescent="0.2">
      <c r="F444">
        <v>1050</v>
      </c>
      <c r="G444">
        <f t="shared" si="75"/>
        <v>1.05</v>
      </c>
      <c r="H444">
        <f t="shared" si="77"/>
        <v>777</v>
      </c>
      <c r="I444" s="17">
        <f t="shared" si="78"/>
        <v>3.0385504745704648E-2</v>
      </c>
      <c r="J444" s="17">
        <f t="shared" si="78"/>
        <v>3.2971593525363933E-2</v>
      </c>
      <c r="K444" s="17">
        <f t="shared" si="78"/>
        <v>5.4876239381997448E-2</v>
      </c>
      <c r="L444" s="17">
        <f t="shared" si="78"/>
        <v>7.3720493491549896E-2</v>
      </c>
      <c r="M444" s="17">
        <f t="shared" si="78"/>
        <v>4.1896426871831059E-2</v>
      </c>
    </row>
    <row r="445" spans="6:13" x14ac:dyDescent="0.2">
      <c r="F445">
        <v>1051</v>
      </c>
      <c r="G445">
        <f t="shared" si="75"/>
        <v>1.0509999999999999</v>
      </c>
      <c r="H445">
        <f t="shared" si="77"/>
        <v>778</v>
      </c>
      <c r="I445" s="17">
        <f t="shared" si="78"/>
        <v>3.0389255202921746E-2</v>
      </c>
      <c r="J445" s="17">
        <f t="shared" si="78"/>
        <v>3.2977039707461041E-2</v>
      </c>
      <c r="K445" s="17">
        <f t="shared" si="78"/>
        <v>5.4887190838271427E-2</v>
      </c>
      <c r="L445" s="17">
        <f t="shared" si="78"/>
        <v>7.3757871950661941E-2</v>
      </c>
      <c r="M445" s="17">
        <f t="shared" si="78"/>
        <v>4.1908999906977322E-2</v>
      </c>
    </row>
    <row r="446" spans="6:13" x14ac:dyDescent="0.2">
      <c r="F446">
        <v>1052</v>
      </c>
      <c r="G446">
        <f t="shared" si="75"/>
        <v>1.052</v>
      </c>
      <c r="H446">
        <f t="shared" si="77"/>
        <v>779</v>
      </c>
      <c r="I446" s="17">
        <f t="shared" si="78"/>
        <v>3.0393010260324402E-2</v>
      </c>
      <c r="J446" s="17">
        <f t="shared" si="78"/>
        <v>3.2982479924804083E-2</v>
      </c>
      <c r="K446" s="17">
        <f t="shared" si="78"/>
        <v>5.4898124362421613E-2</v>
      </c>
      <c r="L446" s="17">
        <f t="shared" si="78"/>
        <v>7.3795205674192912E-2</v>
      </c>
      <c r="M446" s="17">
        <f t="shared" si="78"/>
        <v>4.1921570950478139E-2</v>
      </c>
    </row>
    <row r="447" spans="6:13" x14ac:dyDescent="0.2">
      <c r="F447">
        <v>1053</v>
      </c>
      <c r="G447">
        <f t="shared" si="75"/>
        <v>1.0529999999999999</v>
      </c>
      <c r="H447">
        <f t="shared" si="77"/>
        <v>780</v>
      </c>
      <c r="I447" s="17">
        <f t="shared" si="78"/>
        <v>3.0396769904235798E-2</v>
      </c>
      <c r="J447" s="17">
        <f t="shared" si="78"/>
        <v>3.2987914175760948E-2</v>
      </c>
      <c r="K447" s="17">
        <f t="shared" si="78"/>
        <v>5.4909040004689484E-2</v>
      </c>
      <c r="L447" s="17">
        <f t="shared" si="78"/>
        <v>7.3832494684650155E-2</v>
      </c>
      <c r="M447" s="17">
        <f t="shared" si="78"/>
        <v>4.1934139985593019E-2</v>
      </c>
    </row>
    <row r="448" spans="6:13" x14ac:dyDescent="0.2">
      <c r="F448">
        <v>1054</v>
      </c>
      <c r="G448">
        <f t="shared" si="75"/>
        <v>1.054</v>
      </c>
      <c r="H448">
        <f t="shared" si="77"/>
        <v>781</v>
      </c>
      <c r="I448" s="17">
        <f t="shared" si="78"/>
        <v>3.0400534120965099E-2</v>
      </c>
      <c r="J448" s="17">
        <f t="shared" si="78"/>
        <v>3.2993342458746286E-2</v>
      </c>
      <c r="K448" s="17">
        <f t="shared" si="78"/>
        <v>5.491993781530443E-2</v>
      </c>
      <c r="L448" s="17">
        <f t="shared" si="78"/>
        <v>7.386973900460099E-2</v>
      </c>
      <c r="M448" s="17">
        <f t="shared" si="78"/>
        <v>4.1946706995588751E-2</v>
      </c>
    </row>
    <row r="449" spans="6:13" x14ac:dyDescent="0.2">
      <c r="F449">
        <v>1055</v>
      </c>
      <c r="G449">
        <f t="shared" si="75"/>
        <v>1.0549999999999999</v>
      </c>
      <c r="H449">
        <f t="shared" si="77"/>
        <v>782</v>
      </c>
      <c r="I449" s="17">
        <f t="shared" si="78"/>
        <v>3.0404302896807484E-2</v>
      </c>
      <c r="J449" s="17">
        <f t="shared" si="78"/>
        <v>3.2998764772221086E-2</v>
      </c>
      <c r="K449" s="17">
        <f t="shared" si="78"/>
        <v>5.4930817844483809E-2</v>
      </c>
      <c r="L449" s="17">
        <f t="shared" si="78"/>
        <v>7.390693865667243E-2</v>
      </c>
      <c r="M449" s="17">
        <f t="shared" si="78"/>
        <v>4.1959271963739324E-2</v>
      </c>
    </row>
    <row r="450" spans="6:13" x14ac:dyDescent="0.2">
      <c r="F450">
        <v>1056</v>
      </c>
      <c r="G450">
        <f t="shared" si="75"/>
        <v>1.056</v>
      </c>
      <c r="H450">
        <f t="shared" si="77"/>
        <v>783</v>
      </c>
      <c r="I450" s="17">
        <f t="shared" si="78"/>
        <v>3.0408076218044262E-2</v>
      </c>
      <c r="J450" s="17">
        <f t="shared" si="78"/>
        <v>3.3004181114692617E-2</v>
      </c>
      <c r="K450" s="17">
        <f t="shared" si="78"/>
        <v>5.4941680142433016E-2</v>
      </c>
      <c r="L450" s="17">
        <f t="shared" si="78"/>
        <v>7.394409366355105E-2</v>
      </c>
      <c r="M450" s="17">
        <f t="shared" si="78"/>
        <v>4.197183487332596E-2</v>
      </c>
    </row>
    <row r="451" spans="6:13" x14ac:dyDescent="0.2">
      <c r="F451">
        <v>1057</v>
      </c>
      <c r="G451">
        <f t="shared" si="75"/>
        <v>1.0569999999999999</v>
      </c>
      <c r="H451">
        <f t="shared" si="77"/>
        <v>784</v>
      </c>
      <c r="I451" s="17">
        <f t="shared" si="78"/>
        <v>3.0411854070942948E-2</v>
      </c>
      <c r="J451" s="17">
        <f t="shared" si="78"/>
        <v>3.3009591484713982E-2</v>
      </c>
      <c r="K451" s="17">
        <f t="shared" si="78"/>
        <v>5.4952524759345554E-2</v>
      </c>
      <c r="L451" s="17">
        <f t="shared" si="78"/>
        <v>7.3981204047982307E-2</v>
      </c>
      <c r="M451" s="17">
        <f t="shared" si="78"/>
        <v>4.1984395707636978E-2</v>
      </c>
    </row>
    <row r="452" spans="6:13" x14ac:dyDescent="0.2">
      <c r="F452">
        <v>1058</v>
      </c>
      <c r="G452">
        <f t="shared" si="75"/>
        <v>1.0580000000000001</v>
      </c>
      <c r="H452">
        <f t="shared" si="77"/>
        <v>785</v>
      </c>
      <c r="I452" s="17">
        <f t="shared" si="78"/>
        <v>3.0415636441757328E-2</v>
      </c>
      <c r="J452" s="17">
        <f t="shared" si="78"/>
        <v>3.301499588088401E-2</v>
      </c>
      <c r="K452" s="17">
        <f t="shared" si="78"/>
        <v>5.4963351745403129E-2</v>
      </c>
      <c r="L452" s="17">
        <f t="shared" si="78"/>
        <v>7.4018269832770503E-2</v>
      </c>
      <c r="M452" s="17">
        <f t="shared" si="78"/>
        <v>4.1996954449967872E-2</v>
      </c>
    </row>
    <row r="453" spans="6:13" x14ac:dyDescent="0.2">
      <c r="F453">
        <v>1059</v>
      </c>
      <c r="G453">
        <f t="shared" si="75"/>
        <v>1.0589999999999999</v>
      </c>
      <c r="H453">
        <f t="shared" si="77"/>
        <v>786</v>
      </c>
      <c r="I453" s="17">
        <f t="shared" si="78"/>
        <v>3.0419423316727565E-2</v>
      </c>
      <c r="J453" s="17">
        <f t="shared" si="78"/>
        <v>3.3020394301846882E-2</v>
      </c>
      <c r="K453" s="17">
        <f t="shared" si="78"/>
        <v>5.4974161150775636E-2</v>
      </c>
      <c r="L453" s="17">
        <f t="shared" si="78"/>
        <v>7.4055291040778265E-2</v>
      </c>
      <c r="M453" s="17">
        <f t="shared" si="78"/>
        <v>4.2009511083621144E-2</v>
      </c>
    </row>
    <row r="454" spans="6:13" x14ac:dyDescent="0.2">
      <c r="F454">
        <v>1060</v>
      </c>
      <c r="G454">
        <f t="shared" si="75"/>
        <v>1.06</v>
      </c>
      <c r="H454">
        <f t="shared" si="77"/>
        <v>787</v>
      </c>
      <c r="I454" s="17">
        <f t="shared" si="78"/>
        <v>3.0423214682080223E-2</v>
      </c>
      <c r="J454" s="17">
        <f t="shared" si="78"/>
        <v>3.3025786746291939E-2</v>
      </c>
      <c r="K454" s="17">
        <f t="shared" si="78"/>
        <v>5.4984953025621328E-2</v>
      </c>
      <c r="L454" s="17">
        <f t="shared" si="78"/>
        <v>7.4092267694926259E-2</v>
      </c>
      <c r="M454" s="17">
        <f t="shared" si="78"/>
        <v>4.2022065591906327E-2</v>
      </c>
    </row>
    <row r="455" spans="6:13" x14ac:dyDescent="0.2">
      <c r="F455">
        <v>1061</v>
      </c>
      <c r="G455">
        <f t="shared" si="75"/>
        <v>1.0609999999999999</v>
      </c>
      <c r="H455">
        <f t="shared" si="77"/>
        <v>788</v>
      </c>
      <c r="I455" s="17">
        <f t="shared" ref="I455:M470" si="79">(I$159+I$160*$G455+I$161*($G455^2)+I$162*($G455^3)+I$163/($G455^2))/1000</f>
        <v>3.0427010524028405E-2</v>
      </c>
      <c r="J455" s="17">
        <f t="shared" si="79"/>
        <v>3.303117321295343E-2</v>
      </c>
      <c r="K455" s="17">
        <f t="shared" si="79"/>
        <v>5.4995727420086821E-2</v>
      </c>
      <c r="L455" s="17">
        <f t="shared" si="79"/>
        <v>7.4129199818192951E-2</v>
      </c>
      <c r="M455" s="17">
        <f t="shared" si="79"/>
        <v>4.2034617958139987E-2</v>
      </c>
    </row>
    <row r="456" spans="6:13" x14ac:dyDescent="0.2">
      <c r="F456">
        <v>1062</v>
      </c>
      <c r="G456">
        <f t="shared" si="75"/>
        <v>1.0620000000000001</v>
      </c>
      <c r="H456">
        <f t="shared" si="77"/>
        <v>789</v>
      </c>
      <c r="I456" s="17">
        <f t="shared" si="79"/>
        <v>3.0430810828771779E-2</v>
      </c>
      <c r="J456" s="17">
        <f t="shared" si="79"/>
        <v>3.303655370061017E-2</v>
      </c>
      <c r="K456" s="17">
        <f t="shared" si="79"/>
        <v>5.5006484384307157E-2</v>
      </c>
      <c r="L456" s="17">
        <f t="shared" si="79"/>
        <v>7.4166087433614164E-2</v>
      </c>
      <c r="M456" s="17">
        <f t="shared" si="79"/>
        <v>4.2047168165645604E-2</v>
      </c>
    </row>
    <row r="457" spans="6:13" x14ac:dyDescent="0.2">
      <c r="F457">
        <v>1063</v>
      </c>
      <c r="G457">
        <f t="shared" si="75"/>
        <v>1.0629999999999999</v>
      </c>
      <c r="H457">
        <f t="shared" si="77"/>
        <v>790</v>
      </c>
      <c r="I457" s="17">
        <f t="shared" si="79"/>
        <v>3.0434615582496702E-2</v>
      </c>
      <c r="J457" s="17">
        <f t="shared" si="79"/>
        <v>3.3041928208085436E-2</v>
      </c>
      <c r="K457" s="17">
        <f t="shared" si="79"/>
        <v>5.5017223968405901E-2</v>
      </c>
      <c r="L457" s="17">
        <f t="shared" si="79"/>
        <v>7.4202930564282801E-2</v>
      </c>
      <c r="M457" s="17">
        <f t="shared" si="79"/>
        <v>4.2059716197753561E-2</v>
      </c>
    </row>
    <row r="458" spans="6:13" x14ac:dyDescent="0.2">
      <c r="F458">
        <v>1064</v>
      </c>
      <c r="G458">
        <f t="shared" si="75"/>
        <v>1.0640000000000001</v>
      </c>
      <c r="H458">
        <f t="shared" si="77"/>
        <v>791</v>
      </c>
      <c r="I458" s="17">
        <f t="shared" si="79"/>
        <v>3.0438424771376232E-2</v>
      </c>
      <c r="J458" s="17">
        <f t="shared" si="79"/>
        <v>3.3047296734246563E-2</v>
      </c>
      <c r="K458" s="17">
        <f t="shared" si="79"/>
        <v>5.5027946222495169E-2</v>
      </c>
      <c r="L458" s="17">
        <f t="shared" si="79"/>
        <v>7.4239729233348525E-2</v>
      </c>
      <c r="M458" s="17">
        <f t="shared" si="79"/>
        <v>4.207226203780115E-2</v>
      </c>
    </row>
    <row r="459" spans="6:13" x14ac:dyDescent="0.2">
      <c r="F459">
        <v>1065</v>
      </c>
      <c r="G459">
        <f t="shared" si="75"/>
        <v>1.0649999999999999</v>
      </c>
      <c r="H459">
        <f t="shared" si="77"/>
        <v>792</v>
      </c>
      <c r="I459" s="17">
        <f t="shared" si="79"/>
        <v>3.0442238381570282E-2</v>
      </c>
      <c r="J459" s="17">
        <f t="shared" si="79"/>
        <v>3.3052659278004826E-2</v>
      </c>
      <c r="K459" s="17">
        <f t="shared" si="79"/>
        <v>5.5038651196675718E-2</v>
      </c>
      <c r="L459" s="17">
        <f t="shared" si="79"/>
        <v>7.427648346401744E-2</v>
      </c>
      <c r="M459" s="17">
        <f t="shared" si="79"/>
        <v>4.2084805669132461E-2</v>
      </c>
    </row>
    <row r="460" spans="6:13" x14ac:dyDescent="0.2">
      <c r="F460">
        <v>1066</v>
      </c>
      <c r="G460">
        <f t="shared" si="75"/>
        <v>1.0660000000000001</v>
      </c>
      <c r="H460">
        <f t="shared" si="77"/>
        <v>793</v>
      </c>
      <c r="I460" s="17">
        <f t="shared" si="79"/>
        <v>3.044605639922561E-2</v>
      </c>
      <c r="J460" s="17">
        <f t="shared" si="79"/>
        <v>3.3058015838315108E-2</v>
      </c>
      <c r="K460" s="17">
        <f t="shared" si="79"/>
        <v>5.504933894103705E-2</v>
      </c>
      <c r="L460" s="17">
        <f t="shared" si="79"/>
        <v>7.4313193279551812E-2</v>
      </c>
      <c r="M460" s="17">
        <f t="shared" si="79"/>
        <v>4.2097347075098379E-2</v>
      </c>
    </row>
    <row r="461" spans="6:13" x14ac:dyDescent="0.2">
      <c r="F461">
        <v>1067</v>
      </c>
      <c r="G461">
        <f t="shared" si="75"/>
        <v>1.0669999999999999</v>
      </c>
      <c r="H461">
        <f t="shared" si="77"/>
        <v>794</v>
      </c>
      <c r="I461" s="17">
        <f t="shared" si="79"/>
        <v>3.0449878810475957E-2</v>
      </c>
      <c r="J461" s="17">
        <f t="shared" si="79"/>
        <v>3.306336641417567E-2</v>
      </c>
      <c r="K461" s="17">
        <f t="shared" si="79"/>
        <v>5.5060009505657349E-2</v>
      </c>
      <c r="L461" s="17">
        <f t="shared" si="79"/>
        <v>7.4349858703269614E-2</v>
      </c>
      <c r="M461" s="17">
        <f t="shared" si="79"/>
        <v>4.2109886239056551E-2</v>
      </c>
    </row>
    <row r="462" spans="6:13" x14ac:dyDescent="0.2">
      <c r="F462">
        <v>1068</v>
      </c>
      <c r="G462">
        <f t="shared" si="75"/>
        <v>1.0680000000000001</v>
      </c>
      <c r="H462">
        <f t="shared" si="77"/>
        <v>795</v>
      </c>
      <c r="I462" s="17">
        <f t="shared" si="79"/>
        <v>3.0453705601442106E-2</v>
      </c>
      <c r="J462" s="17">
        <f t="shared" si="79"/>
        <v>3.3068711004627972E-2</v>
      </c>
      <c r="K462" s="17">
        <f t="shared" si="79"/>
        <v>5.5070662940603705E-2</v>
      </c>
      <c r="L462" s="17">
        <f t="shared" si="79"/>
        <v>7.4386479758544427E-2</v>
      </c>
      <c r="M462" s="17">
        <f t="shared" si="79"/>
        <v>4.2122423144371347E-2</v>
      </c>
    </row>
    <row r="463" spans="6:13" x14ac:dyDescent="0.2">
      <c r="F463">
        <v>1069</v>
      </c>
      <c r="G463">
        <f t="shared" si="75"/>
        <v>1.069</v>
      </c>
      <c r="H463">
        <f t="shared" si="77"/>
        <v>796</v>
      </c>
      <c r="I463" s="17">
        <f t="shared" si="79"/>
        <v>3.0457536758231919E-2</v>
      </c>
      <c r="J463" s="17">
        <f t="shared" si="79"/>
        <v>3.3074049608756297E-2</v>
      </c>
      <c r="K463" s="17">
        <f t="shared" si="79"/>
        <v>5.5081299295932015E-2</v>
      </c>
      <c r="L463" s="17">
        <f t="shared" si="79"/>
        <v>7.4423056468804927E-2</v>
      </c>
      <c r="M463" s="17">
        <f t="shared" si="79"/>
        <v>4.2134957774413812E-2</v>
      </c>
    </row>
    <row r="464" spans="6:13" x14ac:dyDescent="0.2">
      <c r="F464">
        <v>1070</v>
      </c>
      <c r="G464">
        <f t="shared" si="75"/>
        <v>1.07</v>
      </c>
      <c r="H464">
        <f t="shared" si="77"/>
        <v>797</v>
      </c>
      <c r="I464" s="17">
        <f t="shared" si="79"/>
        <v>3.046137226694046E-2</v>
      </c>
      <c r="J464" s="17">
        <f t="shared" si="79"/>
        <v>3.3079382225687674E-2</v>
      </c>
      <c r="K464" s="17">
        <f t="shared" si="79"/>
        <v>5.5091918621687212E-2</v>
      </c>
      <c r="L464" s="17">
        <f t="shared" si="79"/>
        <v>7.4459588857534703E-2</v>
      </c>
      <c r="M464" s="17">
        <f t="shared" si="79"/>
        <v>4.2147490112561636E-2</v>
      </c>
    </row>
    <row r="465" spans="6:13" x14ac:dyDescent="0.2">
      <c r="F465">
        <v>1071</v>
      </c>
      <c r="G465">
        <f t="shared" si="75"/>
        <v>1.071</v>
      </c>
      <c r="H465">
        <f t="shared" si="77"/>
        <v>798</v>
      </c>
      <c r="I465" s="17">
        <f t="shared" si="79"/>
        <v>3.0465212113650022E-2</v>
      </c>
      <c r="J465" s="17">
        <f t="shared" si="79"/>
        <v>3.3084708854591506E-2</v>
      </c>
      <c r="K465" s="17">
        <f t="shared" si="79"/>
        <v>5.5102520967903162E-2</v>
      </c>
      <c r="L465" s="17">
        <f t="shared" si="79"/>
        <v>7.44960769482719E-2</v>
      </c>
      <c r="M465" s="17">
        <f t="shared" si="79"/>
        <v>4.2160020142199092E-2</v>
      </c>
    </row>
    <row r="466" spans="6:13" x14ac:dyDescent="0.2">
      <c r="F466">
        <v>1072</v>
      </c>
      <c r="G466">
        <f t="shared" si="75"/>
        <v>1.0720000000000001</v>
      </c>
      <c r="H466">
        <f t="shared" si="77"/>
        <v>799</v>
      </c>
      <c r="I466" s="17">
        <f t="shared" si="79"/>
        <v>3.0469056284430255E-2</v>
      </c>
      <c r="J466" s="17">
        <f t="shared" si="79"/>
        <v>3.3090029494679395E-2</v>
      </c>
      <c r="K466" s="17">
        <f t="shared" si="79"/>
        <v>5.5113106384602886E-2</v>
      </c>
      <c r="L466" s="17">
        <f t="shared" si="79"/>
        <v>7.4532520764608937E-2</v>
      </c>
      <c r="M466" s="17">
        <f t="shared" si="79"/>
        <v>4.2172547846717076E-2</v>
      </c>
    </row>
    <row r="467" spans="6:13" x14ac:dyDescent="0.2">
      <c r="F467">
        <v>1073</v>
      </c>
      <c r="G467">
        <f t="shared" si="75"/>
        <v>1.073</v>
      </c>
      <c r="H467">
        <f t="shared" si="77"/>
        <v>800</v>
      </c>
      <c r="I467" s="17">
        <f t="shared" si="79"/>
        <v>3.0472904765338149E-2</v>
      </c>
      <c r="J467" s="17">
        <f t="shared" si="79"/>
        <v>3.3095344145204902E-2</v>
      </c>
      <c r="K467" s="17">
        <f t="shared" si="79"/>
        <v>5.5123674921798461E-2</v>
      </c>
      <c r="L467" s="17">
        <f t="shared" si="79"/>
        <v>7.4568920330192162E-2</v>
      </c>
      <c r="M467" s="17">
        <f t="shared" si="79"/>
        <v>4.2185073209512945E-2</v>
      </c>
    </row>
    <row r="468" spans="6:13" x14ac:dyDescent="0.2">
      <c r="F468">
        <v>1074</v>
      </c>
      <c r="G468">
        <f t="shared" si="75"/>
        <v>1.0740000000000001</v>
      </c>
      <c r="H468">
        <f t="shared" si="77"/>
        <v>801</v>
      </c>
      <c r="I468" s="17">
        <f t="shared" si="79"/>
        <v>3.0476757542418197E-2</v>
      </c>
      <c r="J468" s="17">
        <f t="shared" si="79"/>
        <v>3.3100652805463315E-2</v>
      </c>
      <c r="K468" s="17">
        <f t="shared" si="79"/>
        <v>5.5134226629491231E-2</v>
      </c>
      <c r="L468" s="17">
        <f t="shared" si="79"/>
        <v>7.4605275668721535E-2</v>
      </c>
      <c r="M468" s="17">
        <f t="shared" si="79"/>
        <v>4.2197596213990593E-2</v>
      </c>
    </row>
    <row r="469" spans="6:13" x14ac:dyDescent="0.2">
      <c r="F469">
        <v>1075</v>
      </c>
      <c r="G469">
        <f t="shared" si="75"/>
        <v>1.075</v>
      </c>
      <c r="H469">
        <f t="shared" si="77"/>
        <v>802</v>
      </c>
      <c r="I469" s="17">
        <f t="shared" si="79"/>
        <v>3.0480614601702427E-2</v>
      </c>
      <c r="J469" s="17">
        <f t="shared" si="79"/>
        <v>3.3105955474791372E-2</v>
      </c>
      <c r="K469" s="17">
        <f t="shared" si="79"/>
        <v>5.5144761557671722E-2</v>
      </c>
      <c r="L469" s="17">
        <f t="shared" si="79"/>
        <v>7.4641586803950458E-2</v>
      </c>
      <c r="M469" s="17">
        <f t="shared" si="79"/>
        <v>4.2210116843560373E-2</v>
      </c>
    </row>
    <row r="470" spans="6:13" x14ac:dyDescent="0.2">
      <c r="F470">
        <v>1076</v>
      </c>
      <c r="G470">
        <f t="shared" si="75"/>
        <v>1.0760000000000001</v>
      </c>
      <c r="H470">
        <f t="shared" si="77"/>
        <v>803</v>
      </c>
      <c r="I470" s="17">
        <f t="shared" si="79"/>
        <v>3.0484475929210435E-2</v>
      </c>
      <c r="J470" s="17">
        <f t="shared" si="79"/>
        <v>3.3111252152567099E-2</v>
      </c>
      <c r="K470" s="17">
        <f t="shared" si="79"/>
        <v>5.5155279756319849E-2</v>
      </c>
      <c r="L470" s="17">
        <f t="shared" si="79"/>
        <v>7.4677853759685428E-2</v>
      </c>
      <c r="M470" s="17">
        <f t="shared" si="79"/>
        <v>4.222263508163903E-2</v>
      </c>
    </row>
    <row r="471" spans="6:13" x14ac:dyDescent="0.2">
      <c r="F471">
        <v>1077</v>
      </c>
      <c r="G471">
        <f t="shared" si="75"/>
        <v>1.077</v>
      </c>
      <c r="H471">
        <f t="shared" si="77"/>
        <v>804</v>
      </c>
      <c r="I471" s="17">
        <f t="shared" ref="I471:M486" si="80">(I$159+I$160*$G471+I$161*($G471^2)+I$162*($G471^3)+I$163/($G471^2))/1000</f>
        <v>3.0488341510949521E-2</v>
      </c>
      <c r="J471" s="17">
        <f t="shared" si="80"/>
        <v>3.3116542838209535E-2</v>
      </c>
      <c r="K471" s="17">
        <f t="shared" si="80"/>
        <v>5.5165781275404849E-2</v>
      </c>
      <c r="L471" s="17">
        <f t="shared" si="80"/>
        <v>7.4714076559785514E-2</v>
      </c>
      <c r="M471" s="17">
        <f t="shared" si="80"/>
        <v>4.2235150911649762E-2</v>
      </c>
    </row>
    <row r="472" spans="6:13" x14ac:dyDescent="0.2">
      <c r="F472">
        <v>1078</v>
      </c>
      <c r="G472">
        <f t="shared" si="75"/>
        <v>1.0780000000000001</v>
      </c>
      <c r="H472">
        <f t="shared" si="77"/>
        <v>805</v>
      </c>
      <c r="I472" s="17">
        <f t="shared" si="80"/>
        <v>3.0492211332914698E-2</v>
      </c>
      <c r="J472" s="17">
        <f t="shared" si="80"/>
        <v>3.312182753117851E-2</v>
      </c>
      <c r="K472" s="17">
        <f t="shared" si="80"/>
        <v>5.517626616488544E-2</v>
      </c>
      <c r="L472" s="17">
        <f t="shared" si="80"/>
        <v>7.475025522816249E-2</v>
      </c>
      <c r="M472" s="17">
        <f t="shared" si="80"/>
        <v>4.2247664317022024E-2</v>
      </c>
    </row>
    <row r="473" spans="6:13" x14ac:dyDescent="0.2">
      <c r="F473">
        <v>1079</v>
      </c>
      <c r="G473">
        <f t="shared" si="75"/>
        <v>1.079</v>
      </c>
      <c r="H473">
        <f t="shared" si="77"/>
        <v>806</v>
      </c>
      <c r="I473" s="17">
        <f t="shared" si="80"/>
        <v>3.0496085381088823E-2</v>
      </c>
      <c r="J473" s="17">
        <f t="shared" si="80"/>
        <v>3.3127106230974424E-2</v>
      </c>
      <c r="K473" s="17">
        <f t="shared" si="80"/>
        <v>5.5186734474709766E-2</v>
      </c>
      <c r="L473" s="17">
        <f t="shared" si="80"/>
        <v>7.4786389788780105E-2</v>
      </c>
      <c r="M473" s="17">
        <f t="shared" si="80"/>
        <v>4.2260175281191657E-2</v>
      </c>
    </row>
    <row r="474" spans="6:13" x14ac:dyDescent="0.2">
      <c r="F474">
        <v>1080</v>
      </c>
      <c r="G474">
        <f t="shared" si="75"/>
        <v>1.08</v>
      </c>
      <c r="H474">
        <f t="shared" si="77"/>
        <v>807</v>
      </c>
      <c r="I474" s="17">
        <f t="shared" si="80"/>
        <v>3.0499963641442591E-2</v>
      </c>
      <c r="J474" s="17">
        <f t="shared" si="80"/>
        <v>3.3132378937138038E-2</v>
      </c>
      <c r="K474" s="17">
        <f t="shared" si="80"/>
        <v>5.5197186254815622E-2</v>
      </c>
      <c r="L474" s="17">
        <f t="shared" si="80"/>
        <v>7.4822480265654065E-2</v>
      </c>
      <c r="M474" s="17">
        <f t="shared" si="80"/>
        <v>4.2272683787600761E-2</v>
      </c>
    </row>
    <row r="475" spans="6:13" x14ac:dyDescent="0.2">
      <c r="F475">
        <v>1081</v>
      </c>
      <c r="G475">
        <f t="shared" si="75"/>
        <v>1.081</v>
      </c>
      <c r="H475">
        <f t="shared" si="77"/>
        <v>808</v>
      </c>
      <c r="I475" s="17">
        <f t="shared" si="80"/>
        <v>3.0503846099934666E-2</v>
      </c>
      <c r="J475" s="17">
        <f t="shared" si="80"/>
        <v>3.3137645649250209E-2</v>
      </c>
      <c r="K475" s="17">
        <f t="shared" si="80"/>
        <v>5.5207621555130287E-2</v>
      </c>
      <c r="L475" s="17">
        <f t="shared" si="80"/>
        <v>7.4858526682851784E-2</v>
      </c>
      <c r="M475" s="17">
        <f t="shared" si="80"/>
        <v>4.2285189819697692E-2</v>
      </c>
    </row>
    <row r="476" spans="6:13" x14ac:dyDescent="0.2">
      <c r="F476">
        <v>1082</v>
      </c>
      <c r="G476">
        <f t="shared" si="75"/>
        <v>1.0820000000000001</v>
      </c>
      <c r="H476">
        <f t="shared" si="77"/>
        <v>809</v>
      </c>
      <c r="I476" s="17">
        <f t="shared" si="80"/>
        <v>3.0507732742511687E-2</v>
      </c>
      <c r="J476" s="17">
        <f t="shared" si="80"/>
        <v>3.31429063669317E-2</v>
      </c>
      <c r="K476" s="17">
        <f t="shared" si="80"/>
        <v>5.5218040425570838E-2</v>
      </c>
      <c r="L476" s="17">
        <f t="shared" si="80"/>
        <v>7.4894529064491816E-2</v>
      </c>
      <c r="M476" s="17">
        <f t="shared" si="80"/>
        <v>4.2297693360937007E-2</v>
      </c>
    </row>
    <row r="477" spans="6:13" x14ac:dyDescent="0.2">
      <c r="F477">
        <v>1083</v>
      </c>
      <c r="G477">
        <f t="shared" si="75"/>
        <v>1.083</v>
      </c>
      <c r="H477">
        <f t="shared" si="77"/>
        <v>810</v>
      </c>
      <c r="I477" s="17">
        <f t="shared" si="80"/>
        <v>3.051162355510843E-2</v>
      </c>
      <c r="J477" s="17">
        <f t="shared" si="80"/>
        <v>3.3148161089842948E-2</v>
      </c>
      <c r="K477" s="17">
        <f t="shared" si="80"/>
        <v>5.5228442916043965E-2</v>
      </c>
      <c r="L477" s="17">
        <f t="shared" si="80"/>
        <v>7.4930487434743898E-2</v>
      </c>
      <c r="M477" s="17">
        <f t="shared" si="80"/>
        <v>4.2310194394779413E-2</v>
      </c>
    </row>
    <row r="478" spans="6:13" x14ac:dyDescent="0.2">
      <c r="F478">
        <v>1084</v>
      </c>
      <c r="G478">
        <f t="shared" si="75"/>
        <v>1.0840000000000001</v>
      </c>
      <c r="H478">
        <f t="shared" si="77"/>
        <v>811</v>
      </c>
      <c r="I478" s="17">
        <f t="shared" si="80"/>
        <v>3.0515518523647749E-2</v>
      </c>
      <c r="J478" s="17">
        <f t="shared" si="80"/>
        <v>3.3153409817683853E-2</v>
      </c>
      <c r="K478" s="17">
        <f t="shared" si="80"/>
        <v>5.5238829076446228E-2</v>
      </c>
      <c r="L478" s="17">
        <f t="shared" si="80"/>
        <v>7.4966401817828376E-2</v>
      </c>
      <c r="M478" s="17">
        <f t="shared" si="80"/>
        <v>4.2322692904691851E-2</v>
      </c>
    </row>
    <row r="479" spans="6:13" x14ac:dyDescent="0.2">
      <c r="F479">
        <v>1085</v>
      </c>
      <c r="G479">
        <f t="shared" si="75"/>
        <v>1.085</v>
      </c>
      <c r="H479">
        <f t="shared" si="77"/>
        <v>812</v>
      </c>
      <c r="I479" s="17">
        <f t="shared" si="80"/>
        <v>3.0519417634040744E-2</v>
      </c>
      <c r="J479" s="17">
        <f t="shared" si="80"/>
        <v>3.3158652550193568E-2</v>
      </c>
      <c r="K479" s="17">
        <f t="shared" si="80"/>
        <v>5.524919895666397E-2</v>
      </c>
      <c r="L479" s="17">
        <f t="shared" si="80"/>
        <v>7.5002272238016129E-2</v>
      </c>
      <c r="M479" s="17">
        <f t="shared" si="80"/>
        <v>4.2335188874147243E-2</v>
      </c>
    </row>
    <row r="480" spans="6:13" x14ac:dyDescent="0.2">
      <c r="F480">
        <v>1086</v>
      </c>
      <c r="G480">
        <f t="shared" si="75"/>
        <v>1.0860000000000001</v>
      </c>
      <c r="H480">
        <f t="shared" si="77"/>
        <v>813</v>
      </c>
      <c r="I480" s="17">
        <f t="shared" si="80"/>
        <v>3.052332087218677E-2</v>
      </c>
      <c r="J480" s="17">
        <f t="shared" si="80"/>
        <v>3.3163889287150229E-2</v>
      </c>
      <c r="K480" s="17">
        <f t="shared" si="80"/>
        <v>5.525955260657342E-2</v>
      </c>
      <c r="L480" s="17">
        <f t="shared" si="80"/>
        <v>7.5038098719628285E-2</v>
      </c>
      <c r="M480" s="17">
        <f t="shared" si="80"/>
        <v>4.234768228662468E-2</v>
      </c>
    </row>
    <row r="481" spans="6:13" x14ac:dyDescent="0.2">
      <c r="F481">
        <v>1087</v>
      </c>
      <c r="G481">
        <f t="shared" si="75"/>
        <v>1.087</v>
      </c>
      <c r="H481">
        <f t="shared" si="77"/>
        <v>814</v>
      </c>
      <c r="I481" s="17">
        <f t="shared" si="80"/>
        <v>3.0527228223973531E-2</v>
      </c>
      <c r="J481" s="17">
        <f t="shared" si="80"/>
        <v>3.3169120028370816E-2</v>
      </c>
      <c r="K481" s="17">
        <f t="shared" si="80"/>
        <v>5.5269890076040828E-2</v>
      </c>
      <c r="L481" s="17">
        <f t="shared" si="80"/>
        <v>7.5073881287035765E-2</v>
      </c>
      <c r="M481" s="17">
        <f t="shared" si="80"/>
        <v>4.2360173125609281E-2</v>
      </c>
    </row>
    <row r="482" spans="6:13" x14ac:dyDescent="0.2">
      <c r="F482">
        <v>1088</v>
      </c>
      <c r="G482">
        <f t="shared" si="75"/>
        <v>1.0880000000000001</v>
      </c>
      <c r="H482">
        <f t="shared" si="77"/>
        <v>815</v>
      </c>
      <c r="I482" s="17">
        <f t="shared" si="80"/>
        <v>3.0531139675277132E-2</v>
      </c>
      <c r="J482" s="17">
        <f t="shared" si="80"/>
        <v>3.3174344773710895E-2</v>
      </c>
      <c r="K482" s="17">
        <f t="shared" si="80"/>
        <v>5.5280211414922363E-2</v>
      </c>
      <c r="L482" s="17">
        <f t="shared" si="80"/>
        <v>7.5109619964659188E-2</v>
      </c>
      <c r="M482" s="17">
        <f t="shared" si="80"/>
        <v>4.2372661374592141E-2</v>
      </c>
    </row>
    <row r="483" spans="6:13" x14ac:dyDescent="0.2">
      <c r="F483">
        <v>1089</v>
      </c>
      <c r="G483">
        <f t="shared" si="75"/>
        <v>1.089</v>
      </c>
      <c r="H483">
        <f t="shared" si="77"/>
        <v>816</v>
      </c>
      <c r="I483" s="17">
        <f t="shared" si="80"/>
        <v>3.0535055211962141E-2</v>
      </c>
      <c r="J483" s="17">
        <f t="shared" si="80"/>
        <v>3.3179563523064393E-2</v>
      </c>
      <c r="K483" s="17">
        <f t="shared" si="80"/>
        <v>5.5290516673064304E-2</v>
      </c>
      <c r="L483" s="17">
        <f t="shared" si="80"/>
        <v>7.5145314776968564E-2</v>
      </c>
      <c r="M483" s="17">
        <f t="shared" si="80"/>
        <v>4.2385147017070336E-2</v>
      </c>
    </row>
    <row r="484" spans="6:13" x14ac:dyDescent="0.2">
      <c r="F484">
        <v>1090</v>
      </c>
      <c r="G484">
        <f t="shared" si="75"/>
        <v>1.0900000000000001</v>
      </c>
      <c r="H484">
        <f t="shared" si="77"/>
        <v>817</v>
      </c>
      <c r="I484" s="17">
        <f t="shared" si="80"/>
        <v>3.0538974819881642E-2</v>
      </c>
      <c r="J484" s="17">
        <f t="shared" si="80"/>
        <v>3.3184776276363438E-2</v>
      </c>
      <c r="K484" s="17">
        <f t="shared" si="80"/>
        <v>5.5300805900303042E-2</v>
      </c>
      <c r="L484" s="17">
        <f t="shared" si="80"/>
        <v>7.5180965748482945E-2</v>
      </c>
      <c r="M484" s="17">
        <f t="shared" si="80"/>
        <v>4.2397630036546931E-2</v>
      </c>
    </row>
    <row r="485" spans="6:13" x14ac:dyDescent="0.2">
      <c r="F485">
        <v>1091</v>
      </c>
      <c r="G485">
        <f t="shared" si="75"/>
        <v>1.091</v>
      </c>
      <c r="H485">
        <f t="shared" si="77"/>
        <v>818</v>
      </c>
      <c r="I485" s="17">
        <f t="shared" si="80"/>
        <v>3.0542898484877332E-2</v>
      </c>
      <c r="J485" s="17">
        <f t="shared" si="80"/>
        <v>3.3189983033578063E-2</v>
      </c>
      <c r="K485" s="17">
        <f t="shared" si="80"/>
        <v>5.5311079146465117E-2</v>
      </c>
      <c r="L485" s="17">
        <f t="shared" si="80"/>
        <v>7.5216572903770165E-2</v>
      </c>
      <c r="M485" s="17">
        <f t="shared" si="80"/>
        <v>4.2410110416530825E-2</v>
      </c>
    </row>
    <row r="486" spans="6:13" x14ac:dyDescent="0.2">
      <c r="F486">
        <v>1092</v>
      </c>
      <c r="G486">
        <f t="shared" si="75"/>
        <v>1.0920000000000001</v>
      </c>
      <c r="H486">
        <f t="shared" si="77"/>
        <v>819</v>
      </c>
      <c r="I486" s="17">
        <f t="shared" si="80"/>
        <v>3.0546826192779552E-2</v>
      </c>
      <c r="J486" s="17">
        <f t="shared" si="80"/>
        <v>3.3195183794716129E-2</v>
      </c>
      <c r="K486" s="17">
        <f t="shared" si="80"/>
        <v>5.5321336461367311E-2</v>
      </c>
      <c r="L486" s="17">
        <f t="shared" si="80"/>
        <v>7.525213626744677E-2</v>
      </c>
      <c r="M486" s="17">
        <f t="shared" si="80"/>
        <v>4.2422588140536864E-2</v>
      </c>
    </row>
    <row r="487" spans="6:13" x14ac:dyDescent="0.2">
      <c r="F487">
        <v>1093</v>
      </c>
      <c r="G487">
        <f t="shared" ref="G487:G518" si="81">F487/1000</f>
        <v>1.093</v>
      </c>
      <c r="H487">
        <f t="shared" si="77"/>
        <v>820</v>
      </c>
      <c r="I487" s="17">
        <f t="shared" ref="I487:M502" si="82">(I$159+I$160*$G487+I$161*($G487^2)+I$162*($G487^3)+I$163/($G487^2))/1000</f>
        <v>3.0550757929407358E-2</v>
      </c>
      <c r="J487" s="17">
        <f t="shared" si="82"/>
        <v>3.3200378559822989E-2</v>
      </c>
      <c r="K487" s="17">
        <f t="shared" si="82"/>
        <v>5.5331577894816672E-2</v>
      </c>
      <c r="L487" s="17">
        <f t="shared" si="82"/>
        <v>7.5287655864177377E-2</v>
      </c>
      <c r="M487" s="17">
        <f t="shared" si="82"/>
        <v>4.2435063192085704E-2</v>
      </c>
    </row>
    <row r="488" spans="6:13" x14ac:dyDescent="0.2">
      <c r="F488">
        <v>1094</v>
      </c>
      <c r="G488">
        <f t="shared" si="81"/>
        <v>1.0940000000000001</v>
      </c>
      <c r="H488">
        <f t="shared" si="77"/>
        <v>821</v>
      </c>
      <c r="I488" s="17">
        <f t="shared" si="82"/>
        <v>3.0554693680568602E-2</v>
      </c>
      <c r="J488" s="17">
        <f t="shared" si="82"/>
        <v>3.3205567328981341E-2</v>
      </c>
      <c r="K488" s="17">
        <f t="shared" si="82"/>
        <v>5.5341803496610581E-2</v>
      </c>
      <c r="L488" s="17">
        <f t="shared" si="82"/>
        <v>7.5323131718674829E-2</v>
      </c>
      <c r="M488" s="17">
        <f t="shared" si="82"/>
        <v>4.2447535554703819E-2</v>
      </c>
    </row>
    <row r="489" spans="6:13" x14ac:dyDescent="0.2">
      <c r="F489">
        <v>1095</v>
      </c>
      <c r="G489">
        <f t="shared" si="81"/>
        <v>1.095</v>
      </c>
      <c r="H489">
        <f t="shared" ref="H489:H518" si="83">F489-273</f>
        <v>822</v>
      </c>
      <c r="I489" s="17">
        <f t="shared" si="82"/>
        <v>3.0558633432059945E-2</v>
      </c>
      <c r="J489" s="17">
        <f t="shared" si="82"/>
        <v>3.3210750102311018E-2</v>
      </c>
      <c r="K489" s="17">
        <f t="shared" si="82"/>
        <v>5.5352013316536809E-2</v>
      </c>
      <c r="L489" s="17">
        <f t="shared" si="82"/>
        <v>7.5358563855699556E-2</v>
      </c>
      <c r="M489" s="17">
        <f t="shared" si="82"/>
        <v>4.2460005211923467E-2</v>
      </c>
    </row>
    <row r="490" spans="6:13" x14ac:dyDescent="0.2">
      <c r="F490">
        <v>1096</v>
      </c>
      <c r="G490">
        <f t="shared" si="81"/>
        <v>1.0960000000000001</v>
      </c>
      <c r="H490">
        <f t="shared" si="83"/>
        <v>823</v>
      </c>
      <c r="I490" s="17">
        <f t="shared" si="82"/>
        <v>3.0562577169666975E-2</v>
      </c>
      <c r="J490" s="17">
        <f t="shared" si="82"/>
        <v>3.3215926879968792E-2</v>
      </c>
      <c r="K490" s="17">
        <f t="shared" si="82"/>
        <v>5.5362207404373538E-2</v>
      </c>
      <c r="L490" s="17">
        <f t="shared" si="82"/>
        <v>7.5393952300059644E-2</v>
      </c>
      <c r="M490" s="17">
        <f t="shared" si="82"/>
        <v>4.2472472147282662E-2</v>
      </c>
    </row>
    <row r="491" spans="6:13" x14ac:dyDescent="0.2">
      <c r="F491">
        <v>1097</v>
      </c>
      <c r="G491">
        <f t="shared" si="81"/>
        <v>1.097</v>
      </c>
      <c r="H491">
        <f t="shared" si="83"/>
        <v>824</v>
      </c>
      <c r="I491" s="17">
        <f t="shared" si="82"/>
        <v>3.0566524879164236E-2</v>
      </c>
      <c r="J491" s="17">
        <f t="shared" si="82"/>
        <v>3.3221097662148161E-2</v>
      </c>
      <c r="K491" s="17">
        <f t="shared" si="82"/>
        <v>5.5372385809889499E-2</v>
      </c>
      <c r="L491" s="17">
        <f t="shared" si="82"/>
        <v>7.542929707661028E-2</v>
      </c>
      <c r="M491" s="17">
        <f t="shared" si="82"/>
        <v>4.2484936344325097E-2</v>
      </c>
    </row>
    <row r="492" spans="6:13" x14ac:dyDescent="0.2">
      <c r="F492">
        <v>1098</v>
      </c>
      <c r="G492">
        <f t="shared" si="81"/>
        <v>1.0980000000000001</v>
      </c>
      <c r="H492">
        <f t="shared" si="83"/>
        <v>825</v>
      </c>
      <c r="I492" s="17">
        <f t="shared" si="82"/>
        <v>3.0570476546315291E-2</v>
      </c>
      <c r="J492" s="17">
        <f t="shared" si="82"/>
        <v>3.3226262449079148E-2</v>
      </c>
      <c r="K492" s="17">
        <f t="shared" si="82"/>
        <v>5.5382548582843874E-2</v>
      </c>
      <c r="L492" s="17">
        <f t="shared" si="82"/>
        <v>7.5464598210253711E-2</v>
      </c>
      <c r="M492" s="17">
        <f t="shared" si="82"/>
        <v>4.2497397786600222E-2</v>
      </c>
    </row>
    <row r="493" spans="6:13" x14ac:dyDescent="0.2">
      <c r="F493">
        <v>1099</v>
      </c>
      <c r="G493">
        <f t="shared" si="81"/>
        <v>1.099</v>
      </c>
      <c r="H493">
        <f t="shared" si="83"/>
        <v>826</v>
      </c>
      <c r="I493" s="17">
        <f t="shared" si="82"/>
        <v>3.0574432156872784E-2</v>
      </c>
      <c r="J493" s="17">
        <f t="shared" si="82"/>
        <v>3.3231421241028104E-2</v>
      </c>
      <c r="K493" s="17">
        <f t="shared" si="82"/>
        <v>5.5392695772986514E-2</v>
      </c>
      <c r="L493" s="17">
        <f t="shared" si="82"/>
        <v>7.5499855725938855E-2</v>
      </c>
      <c r="M493" s="17">
        <f t="shared" si="82"/>
        <v>4.2509856457663094E-2</v>
      </c>
    </row>
    <row r="494" spans="6:13" x14ac:dyDescent="0.2">
      <c r="F494">
        <v>1100</v>
      </c>
      <c r="G494">
        <f t="shared" si="81"/>
        <v>1.1000000000000001</v>
      </c>
      <c r="H494">
        <f t="shared" si="83"/>
        <v>827</v>
      </c>
      <c r="I494" s="17">
        <f t="shared" si="82"/>
        <v>3.0578391696578517E-2</v>
      </c>
      <c r="J494" s="17">
        <f t="shared" si="82"/>
        <v>3.3236574038297523E-2</v>
      </c>
      <c r="K494" s="17">
        <f t="shared" si="82"/>
        <v>5.5402827430057852E-2</v>
      </c>
      <c r="L494" s="17">
        <f t="shared" si="82"/>
        <v>7.5535069648661149E-2</v>
      </c>
      <c r="M494" s="17">
        <f t="shared" si="82"/>
        <v>4.2522312341074384E-2</v>
      </c>
    </row>
    <row r="495" spans="6:13" x14ac:dyDescent="0.2">
      <c r="F495">
        <v>1101</v>
      </c>
      <c r="G495">
        <f t="shared" si="81"/>
        <v>1.101</v>
      </c>
      <c r="H495">
        <f t="shared" si="83"/>
        <v>828</v>
      </c>
      <c r="I495" s="17">
        <f t="shared" si="82"/>
        <v>3.0582355151163462E-2</v>
      </c>
      <c r="J495" s="17">
        <f t="shared" si="82"/>
        <v>3.32417208412258E-2</v>
      </c>
      <c r="K495" s="17">
        <f t="shared" si="82"/>
        <v>5.541294360378908E-2</v>
      </c>
      <c r="L495" s="17">
        <f t="shared" si="82"/>
        <v>7.5570240003462255E-2</v>
      </c>
      <c r="M495" s="17">
        <f t="shared" si="82"/>
        <v>4.253476542040039E-2</v>
      </c>
    </row>
    <row r="496" spans="6:13" x14ac:dyDescent="0.2">
      <c r="F496">
        <v>1102</v>
      </c>
      <c r="G496">
        <f t="shared" si="81"/>
        <v>1.1020000000000001</v>
      </c>
      <c r="H496">
        <f t="shared" si="83"/>
        <v>829</v>
      </c>
      <c r="I496" s="17">
        <f t="shared" si="82"/>
        <v>3.0586322506347879E-2</v>
      </c>
      <c r="J496" s="17">
        <f t="shared" si="82"/>
        <v>3.3246861650187108E-2</v>
      </c>
      <c r="K496" s="17">
        <f t="shared" si="82"/>
        <v>5.5423044343902064E-2</v>
      </c>
      <c r="L496" s="17">
        <f t="shared" si="82"/>
        <v>7.5605366815429703E-2</v>
      </c>
      <c r="M496" s="17">
        <f t="shared" si="82"/>
        <v>4.2547215679212963E-2</v>
      </c>
    </row>
    <row r="497" spans="6:17" x14ac:dyDescent="0.2">
      <c r="F497">
        <v>1103</v>
      </c>
      <c r="G497">
        <f t="shared" si="81"/>
        <v>1.103</v>
      </c>
      <c r="H497">
        <f t="shared" si="83"/>
        <v>830</v>
      </c>
      <c r="I497" s="17">
        <f t="shared" si="82"/>
        <v>3.0590293747841335E-2</v>
      </c>
      <c r="J497" s="17">
        <f t="shared" si="82"/>
        <v>3.3251996465591141E-2</v>
      </c>
      <c r="K497" s="17">
        <f t="shared" si="82"/>
        <v>5.5433129700109537E-2</v>
      </c>
      <c r="L497" s="17">
        <f t="shared" si="82"/>
        <v>7.5640450109696875E-2</v>
      </c>
      <c r="M497" s="17">
        <f t="shared" si="82"/>
        <v>4.2559663101089482E-2</v>
      </c>
    </row>
    <row r="498" spans="6:17" x14ac:dyDescent="0.2">
      <c r="F498">
        <v>1104</v>
      </c>
      <c r="G498">
        <f t="shared" si="81"/>
        <v>1.1040000000000001</v>
      </c>
      <c r="H498">
        <f t="shared" si="83"/>
        <v>831</v>
      </c>
      <c r="I498" s="17">
        <f t="shared" si="82"/>
        <v>3.0594268861342769E-2</v>
      </c>
      <c r="J498" s="17">
        <f t="shared" si="82"/>
        <v>3.3257125287882945E-2</v>
      </c>
      <c r="K498" s="17">
        <f t="shared" si="82"/>
        <v>5.5443199722115019E-2</v>
      </c>
      <c r="L498" s="17">
        <f t="shared" si="82"/>
        <v>7.5675489911442503E-2</v>
      </c>
      <c r="M498" s="17">
        <f t="shared" si="82"/>
        <v>4.2572107669612856E-2</v>
      </c>
    </row>
    <row r="499" spans="6:17" x14ac:dyDescent="0.2">
      <c r="F499">
        <v>1105</v>
      </c>
      <c r="G499">
        <f t="shared" si="81"/>
        <v>1.105</v>
      </c>
      <c r="H499">
        <f t="shared" si="83"/>
        <v>832</v>
      </c>
      <c r="I499" s="17">
        <f t="shared" si="82"/>
        <v>3.0598247832540566E-2</v>
      </c>
      <c r="J499" s="17">
        <f t="shared" si="82"/>
        <v>3.3262248117542748E-2</v>
      </c>
      <c r="K499" s="17">
        <f t="shared" si="82"/>
        <v>5.5453254459612952E-2</v>
      </c>
      <c r="L499" s="17">
        <f t="shared" si="82"/>
        <v>7.5710486245890565E-2</v>
      </c>
      <c r="M499" s="17">
        <f t="shared" si="82"/>
        <v>4.2584549368371409E-2</v>
      </c>
    </row>
    <row r="500" spans="6:17" x14ac:dyDescent="0.2">
      <c r="F500">
        <v>1106</v>
      </c>
      <c r="G500">
        <f t="shared" si="81"/>
        <v>1.1060000000000001</v>
      </c>
      <c r="H500">
        <f t="shared" si="83"/>
        <v>833</v>
      </c>
      <c r="I500" s="17">
        <f t="shared" si="82"/>
        <v>3.0602230647112587E-2</v>
      </c>
      <c r="J500" s="17">
        <f t="shared" si="82"/>
        <v>3.3267364955085699E-2</v>
      </c>
      <c r="K500" s="17">
        <f t="shared" si="82"/>
        <v>5.5463293962288711E-2</v>
      </c>
      <c r="L500" s="17">
        <f t="shared" si="82"/>
        <v>7.5745439138310069E-2</v>
      </c>
      <c r="M500" s="17">
        <f t="shared" si="82"/>
        <v>4.2596988180958972E-2</v>
      </c>
    </row>
    <row r="501" spans="6:17" x14ac:dyDescent="0.2">
      <c r="F501">
        <v>1107</v>
      </c>
      <c r="G501">
        <f t="shared" si="81"/>
        <v>1.107</v>
      </c>
      <c r="H501">
        <f t="shared" si="83"/>
        <v>834</v>
      </c>
      <c r="I501" s="17">
        <f t="shared" si="82"/>
        <v>3.0606217290726254E-2</v>
      </c>
      <c r="J501" s="17">
        <f t="shared" si="82"/>
        <v>3.3272475801061775E-2</v>
      </c>
      <c r="K501" s="17">
        <f t="shared" si="82"/>
        <v>5.5473318279818669E-2</v>
      </c>
      <c r="L501" s="17">
        <f t="shared" si="82"/>
        <v>7.5780348614014711E-2</v>
      </c>
      <c r="M501" s="17">
        <f t="shared" si="82"/>
        <v>4.2609424090974755E-2</v>
      </c>
      <c r="Q501" s="1"/>
    </row>
    <row r="502" spans="6:17" x14ac:dyDescent="0.2">
      <c r="F502">
        <v>1108</v>
      </c>
      <c r="G502">
        <f t="shared" si="81"/>
        <v>1.1080000000000001</v>
      </c>
      <c r="H502">
        <f t="shared" si="83"/>
        <v>835</v>
      </c>
      <c r="I502" s="17">
        <f t="shared" si="82"/>
        <v>3.0610207749038585E-2</v>
      </c>
      <c r="J502" s="17">
        <f t="shared" si="82"/>
        <v>3.3277580656055496E-2</v>
      </c>
      <c r="K502" s="17">
        <f t="shared" si="82"/>
        <v>5.5483327461870249E-2</v>
      </c>
      <c r="L502" s="17">
        <f t="shared" si="82"/>
        <v>7.5815214698362665E-2</v>
      </c>
      <c r="M502" s="17">
        <f t="shared" si="82"/>
        <v>4.2621857082023366E-2</v>
      </c>
    </row>
    <row r="503" spans="6:17" x14ac:dyDescent="0.2">
      <c r="F503">
        <v>1109</v>
      </c>
      <c r="G503">
        <f t="shared" si="81"/>
        <v>1.109</v>
      </c>
      <c r="H503">
        <f t="shared" si="83"/>
        <v>836</v>
      </c>
      <c r="I503" s="17">
        <f t="shared" ref="I503:M518" si="84">(I$159+I$160*$G503+I$161*($G503^2)+I$162*($G503^3)+I$163/($G503^2))/1000</f>
        <v>3.0614202007696264E-2</v>
      </c>
      <c r="J503" s="17">
        <f t="shared" si="84"/>
        <v>3.3282679520685858E-2</v>
      </c>
      <c r="K503" s="17">
        <f t="shared" si="84"/>
        <v>5.5493321558101938E-2</v>
      </c>
      <c r="L503" s="17">
        <f t="shared" si="84"/>
        <v>7.5850037416756361E-2</v>
      </c>
      <c r="M503" s="17">
        <f t="shared" si="84"/>
        <v>4.2634287137714763E-2</v>
      </c>
      <c r="Q503" s="1"/>
    </row>
    <row r="504" spans="6:17" x14ac:dyDescent="0.2">
      <c r="F504">
        <v>1110</v>
      </c>
      <c r="G504">
        <f t="shared" si="81"/>
        <v>1.1100000000000001</v>
      </c>
      <c r="H504">
        <f t="shared" si="83"/>
        <v>837</v>
      </c>
      <c r="I504" s="17">
        <f t="shared" si="84"/>
        <v>3.0618200052335686E-2</v>
      </c>
      <c r="J504" s="17">
        <f t="shared" si="84"/>
        <v>3.3287772395606E-2</v>
      </c>
      <c r="K504" s="17">
        <f t="shared" si="84"/>
        <v>5.5503300618163394E-2</v>
      </c>
      <c r="L504" s="17">
        <f t="shared" si="84"/>
        <v>7.5884816794642262E-2</v>
      </c>
      <c r="M504" s="17">
        <f t="shared" si="84"/>
        <v>4.2646714241664226E-2</v>
      </c>
    </row>
    <row r="505" spans="6:17" x14ac:dyDescent="0.2">
      <c r="F505">
        <v>1111</v>
      </c>
      <c r="G505">
        <f t="shared" si="81"/>
        <v>1.111</v>
      </c>
      <c r="H505">
        <f t="shared" si="83"/>
        <v>838</v>
      </c>
      <c r="I505" s="17">
        <f t="shared" si="84"/>
        <v>3.0622201868583034E-2</v>
      </c>
      <c r="J505" s="17">
        <f t="shared" si="84"/>
        <v>3.3292859281503114E-2</v>
      </c>
      <c r="K505" s="17">
        <f t="shared" si="84"/>
        <v>5.5513264691695458E-2</v>
      </c>
      <c r="L505" s="17">
        <f t="shared" si="84"/>
        <v>7.591955285751055E-2</v>
      </c>
      <c r="M505" s="17">
        <f t="shared" si="84"/>
        <v>4.2659138377492363E-2</v>
      </c>
      <c r="Q505" s="1"/>
    </row>
    <row r="506" spans="6:17" x14ac:dyDescent="0.2">
      <c r="F506">
        <v>1112</v>
      </c>
      <c r="G506">
        <f t="shared" si="81"/>
        <v>1.1120000000000001</v>
      </c>
      <c r="H506">
        <f t="shared" si="83"/>
        <v>839</v>
      </c>
      <c r="I506" s="17">
        <f t="shared" si="84"/>
        <v>3.0626207442054302E-2</v>
      </c>
      <c r="J506" s="17">
        <f t="shared" si="84"/>
        <v>3.3297940179098276E-2</v>
      </c>
      <c r="K506" s="17">
        <f t="shared" si="84"/>
        <v>5.5523213828330156E-2</v>
      </c>
      <c r="L506" s="17">
        <f t="shared" si="84"/>
        <v>7.595424563089502E-2</v>
      </c>
      <c r="M506" s="17">
        <f t="shared" si="84"/>
        <v>4.2671559528825016E-2</v>
      </c>
    </row>
    <row r="507" spans="6:17" x14ac:dyDescent="0.2">
      <c r="F507">
        <v>1113</v>
      </c>
      <c r="G507">
        <f t="shared" si="81"/>
        <v>1.113</v>
      </c>
      <c r="H507">
        <f t="shared" si="83"/>
        <v>840</v>
      </c>
      <c r="I507" s="17">
        <f t="shared" si="84"/>
        <v>3.0630216758355346E-2</v>
      </c>
      <c r="J507" s="17">
        <f t="shared" si="84"/>
        <v>3.3303015089146182E-2</v>
      </c>
      <c r="K507" s="17">
        <f t="shared" si="84"/>
        <v>5.5533148077690858E-2</v>
      </c>
      <c r="L507" s="17">
        <f t="shared" si="84"/>
        <v>7.5988895140372673E-2</v>
      </c>
      <c r="M507" s="17">
        <f t="shared" si="84"/>
        <v>4.2683977679293265E-2</v>
      </c>
      <c r="Q507" s="1"/>
    </row>
    <row r="508" spans="6:17" x14ac:dyDescent="0.2">
      <c r="F508">
        <v>1114</v>
      </c>
      <c r="G508">
        <f t="shared" si="81"/>
        <v>1.1140000000000001</v>
      </c>
      <c r="H508">
        <f t="shared" si="83"/>
        <v>841</v>
      </c>
      <c r="I508" s="17">
        <f t="shared" si="84"/>
        <v>3.0634229803082027E-2</v>
      </c>
      <c r="J508" s="17">
        <f t="shared" si="84"/>
        <v>3.3308084012435055E-2</v>
      </c>
      <c r="K508" s="17">
        <f t="shared" si="84"/>
        <v>5.554306748939225E-2</v>
      </c>
      <c r="L508" s="17">
        <f t="shared" si="84"/>
        <v>7.6023501411563679E-2</v>
      </c>
      <c r="M508" s="17">
        <f t="shared" si="84"/>
        <v>4.2696392812533464E-2</v>
      </c>
    </row>
    <row r="509" spans="6:17" x14ac:dyDescent="0.2">
      <c r="F509">
        <v>1115</v>
      </c>
      <c r="G509">
        <f t="shared" si="81"/>
        <v>1.115</v>
      </c>
      <c r="H509">
        <f t="shared" si="83"/>
        <v>842</v>
      </c>
      <c r="I509" s="17">
        <f t="shared" si="84"/>
        <v>3.0638246561820116E-2</v>
      </c>
      <c r="J509" s="17">
        <f t="shared" si="84"/>
        <v>3.3313146949786376E-2</v>
      </c>
      <c r="K509" s="17">
        <f t="shared" si="84"/>
        <v>5.5552972113040326E-2</v>
      </c>
      <c r="L509" s="17">
        <f t="shared" si="84"/>
        <v>7.6058064470130957E-2</v>
      </c>
      <c r="M509" s="17">
        <f t="shared" si="84"/>
        <v>4.2708804912187051E-2</v>
      </c>
      <c r="Q509" s="1"/>
    </row>
    <row r="510" spans="6:17" x14ac:dyDescent="0.2">
      <c r="F510">
        <v>1116</v>
      </c>
      <c r="G510">
        <f t="shared" si="81"/>
        <v>1.1160000000000001</v>
      </c>
      <c r="H510">
        <f t="shared" si="83"/>
        <v>843</v>
      </c>
      <c r="I510" s="17">
        <f t="shared" si="84"/>
        <v>3.0642267020145476E-2</v>
      </c>
      <c r="J510" s="17">
        <f t="shared" si="84"/>
        <v>3.3318203902054817E-2</v>
      </c>
      <c r="K510" s="17">
        <f t="shared" si="84"/>
        <v>5.5562861998232613E-2</v>
      </c>
      <c r="L510" s="17">
        <f t="shared" si="84"/>
        <v>7.6092584341780053E-2</v>
      </c>
      <c r="M510" s="17">
        <f t="shared" si="84"/>
        <v>4.272121396190072E-2</v>
      </c>
    </row>
    <row r="511" spans="6:17" x14ac:dyDescent="0.2">
      <c r="F511">
        <v>1117</v>
      </c>
      <c r="G511">
        <f t="shared" si="81"/>
        <v>1.117</v>
      </c>
      <c r="H511">
        <f t="shared" si="83"/>
        <v>844</v>
      </c>
      <c r="I511" s="17">
        <f t="shared" si="84"/>
        <v>3.0646291163624068E-2</v>
      </c>
      <c r="J511" s="17">
        <f t="shared" si="84"/>
        <v>3.3323254870127939E-2</v>
      </c>
      <c r="K511" s="17">
        <f t="shared" si="84"/>
        <v>5.5572737194557999E-2</v>
      </c>
      <c r="L511" s="17">
        <f t="shared" si="84"/>
        <v>7.6127061052258943E-2</v>
      </c>
      <c r="M511" s="17">
        <f t="shared" si="84"/>
        <v>4.2733619945326262E-2</v>
      </c>
      <c r="Q511" s="1"/>
    </row>
    <row r="512" spans="6:17" x14ac:dyDescent="0.2">
      <c r="F512">
        <v>1118</v>
      </c>
      <c r="G512">
        <f t="shared" si="81"/>
        <v>1.1180000000000001</v>
      </c>
      <c r="H512">
        <f t="shared" si="83"/>
        <v>845</v>
      </c>
      <c r="I512" s="17">
        <f t="shared" si="84"/>
        <v>3.065031897781198E-2</v>
      </c>
      <c r="J512" s="17">
        <f t="shared" si="84"/>
        <v>3.3328299854926101E-2</v>
      </c>
      <c r="K512" s="17">
        <f t="shared" si="84"/>
        <v>5.5582597751596963E-2</v>
      </c>
      <c r="L512" s="17">
        <f t="shared" si="84"/>
        <v>7.6161494627357676E-2</v>
      </c>
      <c r="M512" s="17">
        <f t="shared" si="84"/>
        <v>4.2746022846120522E-2</v>
      </c>
    </row>
    <row r="513" spans="6:17" x14ac:dyDescent="0.2">
      <c r="F513">
        <v>1119</v>
      </c>
      <c r="G513">
        <f t="shared" si="81"/>
        <v>1.119</v>
      </c>
      <c r="H513">
        <f t="shared" si="83"/>
        <v>846</v>
      </c>
      <c r="I513" s="17">
        <f t="shared" si="84"/>
        <v>3.065435044825553E-2</v>
      </c>
      <c r="J513" s="17">
        <f t="shared" si="84"/>
        <v>3.3333338857402257E-2</v>
      </c>
      <c r="K513" s="17">
        <f t="shared" si="84"/>
        <v>5.5592443718921476E-2</v>
      </c>
      <c r="L513" s="17">
        <f t="shared" si="84"/>
        <v>7.6195885092908255E-2</v>
      </c>
      <c r="M513" s="17">
        <f t="shared" si="84"/>
        <v>4.2758422647945493E-2</v>
      </c>
      <c r="Q513" s="1"/>
    </row>
    <row r="514" spans="6:17" x14ac:dyDescent="0.2">
      <c r="F514">
        <v>1120</v>
      </c>
      <c r="G514">
        <f t="shared" si="81"/>
        <v>1.1200000000000001</v>
      </c>
      <c r="H514">
        <f t="shared" si="83"/>
        <v>847</v>
      </c>
      <c r="I514" s="17">
        <f t="shared" si="84"/>
        <v>3.0658385560491264E-2</v>
      </c>
      <c r="J514" s="17">
        <f t="shared" si="84"/>
        <v>3.3338371878541793E-2</v>
      </c>
      <c r="K514" s="17">
        <f t="shared" si="84"/>
        <v>5.5602275146095191E-2</v>
      </c>
      <c r="L514" s="17">
        <f t="shared" si="84"/>
        <v>7.6230232474784415E-2</v>
      </c>
      <c r="M514" s="17">
        <f t="shared" si="84"/>
        <v>4.277081933446817E-2</v>
      </c>
    </row>
    <row r="515" spans="6:17" x14ac:dyDescent="0.2">
      <c r="F515">
        <v>1121</v>
      </c>
      <c r="G515">
        <f t="shared" si="81"/>
        <v>1.121</v>
      </c>
      <c r="H515">
        <f t="shared" si="83"/>
        <v>848</v>
      </c>
      <c r="I515" s="17">
        <f t="shared" si="84"/>
        <v>3.0662424300046068E-2</v>
      </c>
      <c r="J515" s="17">
        <f t="shared" si="84"/>
        <v>3.3343398919362319E-2</v>
      </c>
      <c r="K515" s="17">
        <f t="shared" si="84"/>
        <v>5.5612092082673314E-2</v>
      </c>
      <c r="L515" s="17">
        <f t="shared" si="84"/>
        <v>7.62645367989013E-2</v>
      </c>
      <c r="M515" s="17">
        <f t="shared" si="84"/>
        <v>4.2783212889360572E-2</v>
      </c>
      <c r="Q515" s="1"/>
    </row>
    <row r="516" spans="6:17" x14ac:dyDescent="0.2">
      <c r="F516">
        <v>1122</v>
      </c>
      <c r="G516">
        <f t="shared" si="81"/>
        <v>1.1220000000000001</v>
      </c>
      <c r="H516">
        <f t="shared" si="83"/>
        <v>849</v>
      </c>
      <c r="I516" s="17">
        <f t="shared" si="84"/>
        <v>3.0666466652437174E-2</v>
      </c>
      <c r="J516" s="17">
        <f t="shared" si="84"/>
        <v>3.3348419980913542E-2</v>
      </c>
      <c r="K516" s="17">
        <f t="shared" si="84"/>
        <v>5.5621894578202831E-2</v>
      </c>
      <c r="L516" s="17">
        <f t="shared" si="84"/>
        <v>7.6298798091215411E-2</v>
      </c>
      <c r="M516" s="17">
        <f t="shared" si="84"/>
        <v>4.2795603296299722E-2</v>
      </c>
    </row>
    <row r="517" spans="6:17" x14ac:dyDescent="0.2">
      <c r="F517">
        <v>1123</v>
      </c>
      <c r="G517">
        <f t="shared" si="81"/>
        <v>1.123</v>
      </c>
      <c r="H517">
        <f t="shared" si="83"/>
        <v>850</v>
      </c>
      <c r="I517" s="17">
        <f t="shared" si="84"/>
        <v>3.0670512603172207E-2</v>
      </c>
      <c r="J517" s="17">
        <f t="shared" si="84"/>
        <v>3.3353435064277057E-2</v>
      </c>
      <c r="K517" s="17">
        <f t="shared" si="84"/>
        <v>5.5631682682222419E-2</v>
      </c>
      <c r="L517" s="17">
        <f t="shared" si="84"/>
        <v>7.6333016377724133E-2</v>
      </c>
      <c r="M517" s="17">
        <f t="shared" si="84"/>
        <v>4.2807990538967625E-2</v>
      </c>
      <c r="Q517" s="1"/>
    </row>
    <row r="518" spans="6:17" x14ac:dyDescent="0.2">
      <c r="F518">
        <v>1124</v>
      </c>
      <c r="G518">
        <f t="shared" si="81"/>
        <v>1.1240000000000001</v>
      </c>
      <c r="H518">
        <f t="shared" si="83"/>
        <v>851</v>
      </c>
      <c r="I518" s="17">
        <f t="shared" si="84"/>
        <v>3.067456213774928E-2</v>
      </c>
      <c r="J518" s="17">
        <f t="shared" si="84"/>
        <v>3.3358444170566222E-2</v>
      </c>
      <c r="K518" s="17">
        <f t="shared" si="84"/>
        <v>5.5641456444262542E-2</v>
      </c>
      <c r="L518" s="17">
        <f t="shared" si="84"/>
        <v>7.6367191684465818E-2</v>
      </c>
      <c r="M518" s="17">
        <f t="shared" si="84"/>
        <v>4.2820374601051203E-2</v>
      </c>
    </row>
    <row r="519" spans="6:17" x14ac:dyDescent="0.2">
      <c r="Q519" s="1"/>
    </row>
    <row r="521" spans="6:17" x14ac:dyDescent="0.2">
      <c r="Q521" s="1"/>
    </row>
    <row r="523" spans="6:17" x14ac:dyDescent="0.2">
      <c r="Q523" s="1"/>
    </row>
    <row r="525" spans="6:17" x14ac:dyDescent="0.2">
      <c r="Q525" s="1"/>
    </row>
    <row r="527" spans="6:17" x14ac:dyDescent="0.2">
      <c r="Q527" s="1"/>
    </row>
    <row r="529" spans="17:17" x14ac:dyDescent="0.2">
      <c r="Q529" s="1"/>
    </row>
    <row r="531" spans="17:17" x14ac:dyDescent="0.2">
      <c r="Q531" s="1"/>
    </row>
    <row r="533" spans="17:17" x14ac:dyDescent="0.2">
      <c r="Q533" s="1"/>
    </row>
    <row r="535" spans="17:17" x14ac:dyDescent="0.2">
      <c r="Q535" s="1"/>
    </row>
    <row r="537" spans="17:17" x14ac:dyDescent="0.2">
      <c r="Q537" s="1"/>
    </row>
    <row r="539" spans="17:17" x14ac:dyDescent="0.2">
      <c r="Q539" s="1"/>
    </row>
    <row r="541" spans="17:17" x14ac:dyDescent="0.2">
      <c r="Q541" s="1"/>
    </row>
    <row r="543" spans="17:17" x14ac:dyDescent="0.2">
      <c r="Q543" s="1"/>
    </row>
    <row r="545" spans="17:17" x14ac:dyDescent="0.2">
      <c r="Q545" s="1"/>
    </row>
    <row r="547" spans="17:17" x14ac:dyDescent="0.2">
      <c r="Q547" s="1"/>
    </row>
    <row r="549" spans="17:17" x14ac:dyDescent="0.2">
      <c r="Q549" s="1"/>
    </row>
    <row r="551" spans="17:17" x14ac:dyDescent="0.2">
      <c r="Q551" s="1"/>
    </row>
    <row r="553" spans="17:17" x14ac:dyDescent="0.2">
      <c r="Q553" s="1"/>
    </row>
    <row r="555" spans="17:17" x14ac:dyDescent="0.2">
      <c r="Q555" s="1"/>
    </row>
    <row r="557" spans="17:17" x14ac:dyDescent="0.2">
      <c r="Q557" s="1"/>
    </row>
    <row r="559" spans="17:17" x14ac:dyDescent="0.2">
      <c r="Q559" s="1"/>
    </row>
    <row r="561" spans="17:17" x14ac:dyDescent="0.2">
      <c r="Q561" s="1"/>
    </row>
    <row r="563" spans="17:17" x14ac:dyDescent="0.2">
      <c r="Q563" s="1"/>
    </row>
  </sheetData>
  <hyperlinks>
    <hyperlink ref="T14" r:id="rId1" xr:uid="{B5688C05-A28B-1E4F-8747-3884C0E31D7D}"/>
  </hyperlinks>
  <pageMargins left="0.7" right="0.7" top="0.75" bottom="0.75" header="0.3" footer="0.3"/>
  <pageSetup paperSize="9" orientation="portrait" horizontalDpi="0" verticalDpi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7D20-0494-B442-9BF4-E4E64E052117}">
  <dimension ref="A1:S11"/>
  <sheetViews>
    <sheetView workbookViewId="0">
      <selection activeCell="S3" sqref="S3"/>
    </sheetView>
  </sheetViews>
  <sheetFormatPr baseColWidth="10" defaultRowHeight="16" x14ac:dyDescent="0.2"/>
  <sheetData>
    <row r="1" spans="1:19" x14ac:dyDescent="0.2">
      <c r="S1" t="s">
        <v>196</v>
      </c>
    </row>
    <row r="2" spans="1:19" x14ac:dyDescent="0.2">
      <c r="S2">
        <v>8.3140000000000001</v>
      </c>
    </row>
    <row r="3" spans="1:19" x14ac:dyDescent="0.2">
      <c r="A3" t="s">
        <v>321</v>
      </c>
      <c r="B3" t="s">
        <v>322</v>
      </c>
      <c r="E3" t="s">
        <v>323</v>
      </c>
      <c r="L3" t="s">
        <v>324</v>
      </c>
    </row>
    <row r="4" spans="1:19" x14ac:dyDescent="0.2">
      <c r="B4" t="s">
        <v>325</v>
      </c>
      <c r="C4" t="s">
        <v>326</v>
      </c>
      <c r="D4" t="s">
        <v>327</v>
      </c>
      <c r="E4" t="s">
        <v>328</v>
      </c>
      <c r="F4" t="s">
        <v>329</v>
      </c>
      <c r="G4" t="s">
        <v>330</v>
      </c>
      <c r="H4" t="s">
        <v>331</v>
      </c>
      <c r="I4" t="s">
        <v>332</v>
      </c>
      <c r="J4" t="s">
        <v>333</v>
      </c>
      <c r="K4" t="s">
        <v>334</v>
      </c>
      <c r="L4" t="s">
        <v>335</v>
      </c>
      <c r="M4" t="s">
        <v>336</v>
      </c>
      <c r="N4" t="s">
        <v>337</v>
      </c>
      <c r="O4" t="s">
        <v>338</v>
      </c>
      <c r="P4" t="s">
        <v>339</v>
      </c>
      <c r="Q4" t="s">
        <v>340</v>
      </c>
      <c r="R4" t="s">
        <v>341</v>
      </c>
    </row>
    <row r="5" spans="1:19" x14ac:dyDescent="0.2">
      <c r="A5" t="s">
        <v>18</v>
      </c>
      <c r="B5">
        <v>200</v>
      </c>
      <c r="C5">
        <v>1000</v>
      </c>
      <c r="D5">
        <v>3500</v>
      </c>
      <c r="E5">
        <v>2.3443311200000001</v>
      </c>
      <c r="F5">
        <v>7.9805207499999992E-3</v>
      </c>
      <c r="G5">
        <v>-1.9478150999999999E-5</v>
      </c>
      <c r="H5">
        <v>2.01572094E-8</v>
      </c>
      <c r="I5">
        <v>-7.3761176100000006E-12</v>
      </c>
      <c r="J5">
        <v>-917.93517299999996</v>
      </c>
      <c r="K5">
        <v>0.68301023800000005</v>
      </c>
      <c r="L5">
        <v>3.3372791999999998</v>
      </c>
      <c r="M5">
        <v>-4.9402473099999998E-5</v>
      </c>
      <c r="N5">
        <v>4.9945677799999996E-7</v>
      </c>
      <c r="O5">
        <v>-1.7956639400000001E-10</v>
      </c>
      <c r="P5">
        <v>2.00255376E-14</v>
      </c>
      <c r="Q5">
        <v>-950.15892199999996</v>
      </c>
      <c r="R5">
        <v>-3.2050233100000001</v>
      </c>
    </row>
    <row r="6" spans="1:19" x14ac:dyDescent="0.2">
      <c r="A6" t="s">
        <v>55</v>
      </c>
      <c r="B6">
        <v>300</v>
      </c>
      <c r="C6">
        <v>1000</v>
      </c>
      <c r="D6">
        <v>5000</v>
      </c>
      <c r="E6">
        <v>3.2986770000000001</v>
      </c>
      <c r="F6">
        <v>1.4082404E-3</v>
      </c>
      <c r="G6">
        <v>-3.9632219999999998E-6</v>
      </c>
      <c r="H6">
        <v>5.6415150000000002E-9</v>
      </c>
      <c r="I6">
        <v>-2.4448539999999999E-12</v>
      </c>
      <c r="J6">
        <v>-1020.8999</v>
      </c>
      <c r="K6">
        <v>3.9503720000000002</v>
      </c>
      <c r="L6">
        <v>2.9266399999999999</v>
      </c>
      <c r="M6">
        <v>1.4879768000000001E-3</v>
      </c>
      <c r="N6">
        <v>-5.6847600000000001E-7</v>
      </c>
      <c r="O6">
        <v>1.0097038E-10</v>
      </c>
      <c r="P6">
        <v>-6.7533509999999998E-15</v>
      </c>
      <c r="Q6">
        <v>-922.79769999999996</v>
      </c>
      <c r="R6">
        <v>5.9805279999999996</v>
      </c>
    </row>
    <row r="7" spans="1:19" x14ac:dyDescent="0.2">
      <c r="A7" t="s">
        <v>59</v>
      </c>
      <c r="B7">
        <v>200</v>
      </c>
      <c r="C7">
        <v>1000</v>
      </c>
      <c r="D7">
        <v>3500</v>
      </c>
      <c r="E7">
        <v>3.5795334699999999</v>
      </c>
      <c r="F7">
        <v>-6.1035368E-4</v>
      </c>
      <c r="G7">
        <v>1.01681433E-6</v>
      </c>
      <c r="H7">
        <v>9.0700588399999998E-10</v>
      </c>
      <c r="I7">
        <v>-9.04424499E-13</v>
      </c>
      <c r="J7">
        <v>-14344.085999999999</v>
      </c>
      <c r="K7">
        <v>3.50840928</v>
      </c>
      <c r="L7">
        <v>2.7151856099999998</v>
      </c>
      <c r="M7">
        <v>2.0625274300000002E-3</v>
      </c>
      <c r="N7">
        <v>-9.9882577100000007E-7</v>
      </c>
      <c r="O7">
        <v>2.30053008E-10</v>
      </c>
      <c r="P7">
        <v>-2.03647716E-14</v>
      </c>
      <c r="Q7">
        <v>-14151.8724</v>
      </c>
      <c r="R7">
        <v>7.8186877199999998</v>
      </c>
    </row>
    <row r="8" spans="1:19" x14ac:dyDescent="0.2">
      <c r="A8" t="s">
        <v>56</v>
      </c>
      <c r="B8">
        <v>200</v>
      </c>
      <c r="C8">
        <v>1000</v>
      </c>
      <c r="D8">
        <v>3500</v>
      </c>
      <c r="E8">
        <v>2.35677352</v>
      </c>
      <c r="F8">
        <v>8.9845967700000005E-3</v>
      </c>
      <c r="G8">
        <v>-7.1235626899999998E-6</v>
      </c>
      <c r="H8">
        <v>2.4591902199999998E-9</v>
      </c>
      <c r="I8">
        <v>-1.4369954799999999E-13</v>
      </c>
      <c r="J8">
        <v>-48371.969700000001</v>
      </c>
      <c r="K8">
        <v>9.9010522200000004</v>
      </c>
      <c r="L8">
        <v>3.8574602900000001</v>
      </c>
      <c r="M8">
        <v>4.4143702599999998E-3</v>
      </c>
      <c r="N8">
        <v>-2.2148140400000001E-6</v>
      </c>
      <c r="O8">
        <v>5.2349018800000005E-10</v>
      </c>
      <c r="P8">
        <v>-4.7208416400000003E-14</v>
      </c>
      <c r="Q8">
        <v>-48759.165999999997</v>
      </c>
      <c r="R8">
        <v>2.2716380599999999</v>
      </c>
    </row>
    <row r="9" spans="1:19" x14ac:dyDescent="0.2">
      <c r="A9" t="s">
        <v>44</v>
      </c>
      <c r="B9">
        <v>200</v>
      </c>
      <c r="C9">
        <v>1000</v>
      </c>
      <c r="D9">
        <v>3500</v>
      </c>
      <c r="E9">
        <v>5.14987613</v>
      </c>
      <c r="F9">
        <v>-1.3670978800000001E-2</v>
      </c>
      <c r="G9">
        <v>4.9180059899999999E-5</v>
      </c>
      <c r="H9">
        <v>-4.8474302600000002E-8</v>
      </c>
      <c r="I9">
        <v>1.6669395599999999E-11</v>
      </c>
      <c r="J9">
        <v>-10246.6476</v>
      </c>
      <c r="K9">
        <v>-4.6413037599999996</v>
      </c>
      <c r="L9">
        <v>7.4851495000000004E-2</v>
      </c>
      <c r="M9">
        <v>1.33909467E-2</v>
      </c>
      <c r="N9">
        <v>-5.73285809E-6</v>
      </c>
      <c r="O9">
        <v>1.22292535E-9</v>
      </c>
      <c r="P9">
        <v>-1.0181523E-13</v>
      </c>
      <c r="Q9">
        <v>-9468.3445900000006</v>
      </c>
      <c r="R9">
        <v>18.437318000000001</v>
      </c>
    </row>
    <row r="10" spans="1:19" x14ac:dyDescent="0.2">
      <c r="A10" t="s">
        <v>60</v>
      </c>
      <c r="B10">
        <v>200</v>
      </c>
      <c r="C10">
        <v>1000</v>
      </c>
      <c r="D10">
        <v>3500</v>
      </c>
      <c r="E10">
        <v>4.2914249199999999</v>
      </c>
      <c r="F10">
        <v>-5.5015426999999997E-3</v>
      </c>
      <c r="G10">
        <v>5.9943828800000003E-5</v>
      </c>
      <c r="H10">
        <v>-7.0846628500000001E-8</v>
      </c>
      <c r="I10">
        <v>2.6868577099999999E-11</v>
      </c>
      <c r="J10">
        <v>-11522.2055</v>
      </c>
      <c r="K10">
        <v>2.6668231599999999</v>
      </c>
      <c r="L10">
        <v>1.0718814999999999</v>
      </c>
      <c r="M10">
        <v>2.16852677E-2</v>
      </c>
      <c r="N10">
        <v>-1.00256067E-5</v>
      </c>
      <c r="O10">
        <v>2.21412001E-9</v>
      </c>
      <c r="P10">
        <v>-1.9000289E-13</v>
      </c>
      <c r="Q10">
        <v>-11426.3932</v>
      </c>
      <c r="R10">
        <v>15.1156107</v>
      </c>
    </row>
    <row r="11" spans="1:19" x14ac:dyDescent="0.2">
      <c r="A11" t="s">
        <v>54</v>
      </c>
      <c r="B11">
        <v>200</v>
      </c>
      <c r="C11">
        <v>1000</v>
      </c>
      <c r="D11">
        <v>3500</v>
      </c>
      <c r="E11">
        <v>4.1986405600000003</v>
      </c>
      <c r="F11">
        <v>-2.0364341000000002E-3</v>
      </c>
      <c r="G11">
        <v>6.5204021099999997E-6</v>
      </c>
      <c r="H11">
        <v>-5.4879706200000003E-9</v>
      </c>
      <c r="I11">
        <v>1.77197817E-12</v>
      </c>
      <c r="J11">
        <v>-30293.726699999999</v>
      </c>
      <c r="K11">
        <v>-0.84903220800000001</v>
      </c>
      <c r="L11">
        <v>3.0339924900000002</v>
      </c>
      <c r="M11">
        <v>2.1769180400000002E-3</v>
      </c>
      <c r="N11">
        <v>-1.6407251799999999E-7</v>
      </c>
      <c r="O11">
        <v>-9.7041986999999998E-11</v>
      </c>
      <c r="P11">
        <v>1.6820099199999999E-14</v>
      </c>
      <c r="Q11">
        <v>-30004.2971</v>
      </c>
      <c r="R11">
        <v>4.9667700999999997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F241-93E9-3A41-AE09-6C2FBF07541F}">
  <dimension ref="A1:AT563"/>
  <sheetViews>
    <sheetView topLeftCell="J28" zoomScale="91" workbookViewId="0">
      <selection activeCell="AL55" sqref="AL55"/>
    </sheetView>
  </sheetViews>
  <sheetFormatPr baseColWidth="10" defaultRowHeight="16" x14ac:dyDescent="0.2"/>
  <sheetData>
    <row r="1" spans="6:42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U1" t="s">
        <v>0</v>
      </c>
      <c r="V1" t="s">
        <v>25</v>
      </c>
      <c r="Z1" t="s">
        <v>0</v>
      </c>
      <c r="AA1" t="s">
        <v>163</v>
      </c>
      <c r="AB1" t="s">
        <v>132</v>
      </c>
      <c r="AC1" t="s">
        <v>320</v>
      </c>
    </row>
    <row r="2" spans="6:42" x14ac:dyDescent="0.2">
      <c r="F2" t="s">
        <v>7</v>
      </c>
      <c r="G2">
        <v>0</v>
      </c>
      <c r="H2">
        <v>4.8</v>
      </c>
      <c r="I2">
        <v>1.1000000000000001</v>
      </c>
      <c r="J2">
        <v>51.9</v>
      </c>
      <c r="K2">
        <v>74.599999999999994</v>
      </c>
      <c r="L2">
        <v>99.99</v>
      </c>
      <c r="U2" t="s">
        <v>189</v>
      </c>
      <c r="V2" s="1">
        <f>2871.7</f>
        <v>2871.7</v>
      </c>
      <c r="W2" s="4" t="s">
        <v>225</v>
      </c>
      <c r="Z2" t="s">
        <v>7</v>
      </c>
      <c r="AA2" s="9">
        <f t="shared" ref="AA2:AA8" si="0">AB2/SUM($AB$2:$AB$8)*100</f>
        <v>0</v>
      </c>
      <c r="AB2">
        <v>0</v>
      </c>
    </row>
    <row r="3" spans="6:42" x14ac:dyDescent="0.2">
      <c r="F3" t="s">
        <v>8</v>
      </c>
      <c r="G3">
        <v>1</v>
      </c>
      <c r="H3">
        <v>1</v>
      </c>
      <c r="I3">
        <v>0.3</v>
      </c>
      <c r="J3">
        <v>0.2</v>
      </c>
      <c r="K3">
        <v>0.25</v>
      </c>
      <c r="L3">
        <v>0.01</v>
      </c>
      <c r="U3" t="s">
        <v>131</v>
      </c>
      <c r="V3" s="40">
        <f>W15-S15</f>
        <v>985.86696975910309</v>
      </c>
      <c r="Z3" t="s">
        <v>8</v>
      </c>
      <c r="AA3" s="19">
        <f t="shared" si="0"/>
        <v>61.814140707453745</v>
      </c>
      <c r="AB3">
        <f>N67+AC43+AB70</f>
        <v>289810.02953296871</v>
      </c>
    </row>
    <row r="4" spans="6:42" x14ac:dyDescent="0.2">
      <c r="F4" t="s">
        <v>9</v>
      </c>
      <c r="G4">
        <v>0</v>
      </c>
      <c r="H4">
        <v>0</v>
      </c>
      <c r="I4">
        <v>0</v>
      </c>
      <c r="J4">
        <v>10.7</v>
      </c>
      <c r="K4">
        <v>5.3</v>
      </c>
      <c r="L4">
        <v>0</v>
      </c>
      <c r="U4" t="s">
        <v>15</v>
      </c>
      <c r="V4" s="1">
        <v>255</v>
      </c>
      <c r="Z4" t="s">
        <v>9</v>
      </c>
      <c r="AA4" s="9">
        <f t="shared" si="0"/>
        <v>0</v>
      </c>
      <c r="AB4">
        <v>0</v>
      </c>
    </row>
    <row r="5" spans="6:42" x14ac:dyDescent="0.2">
      <c r="F5" t="s">
        <v>10</v>
      </c>
      <c r="G5">
        <v>0.5</v>
      </c>
      <c r="H5">
        <v>0.5</v>
      </c>
      <c r="I5">
        <v>0.1</v>
      </c>
      <c r="J5">
        <v>5.0999999999999996</v>
      </c>
      <c r="K5">
        <v>14.8</v>
      </c>
      <c r="L5">
        <v>0</v>
      </c>
      <c r="U5" t="s">
        <v>16</v>
      </c>
      <c r="V5" s="1">
        <v>3</v>
      </c>
      <c r="Z5" t="s">
        <v>10</v>
      </c>
      <c r="AA5" s="19">
        <f t="shared" si="0"/>
        <v>19.276245232475343</v>
      </c>
      <c r="AB5">
        <f>N69+N70+2*N71+AC44+AC45+AC46</f>
        <v>90374.939070127613</v>
      </c>
      <c r="AC5" s="5">
        <f>AB5*44/1000</f>
        <v>3976.4973190856149</v>
      </c>
    </row>
    <row r="6" spans="6:42" x14ac:dyDescent="0.2">
      <c r="F6" t="s">
        <v>11</v>
      </c>
      <c r="G6">
        <v>95</v>
      </c>
      <c r="H6">
        <v>90.4</v>
      </c>
      <c r="I6">
        <v>26.1</v>
      </c>
      <c r="J6">
        <v>3.8</v>
      </c>
      <c r="K6">
        <v>4.9000000000000004</v>
      </c>
      <c r="L6">
        <v>0</v>
      </c>
      <c r="Z6" t="s">
        <v>11</v>
      </c>
      <c r="AA6" s="9">
        <f t="shared" si="0"/>
        <v>0</v>
      </c>
      <c r="AB6">
        <v>0</v>
      </c>
    </row>
    <row r="7" spans="6:42" x14ac:dyDescent="0.2">
      <c r="F7" t="s">
        <v>12</v>
      </c>
      <c r="G7">
        <v>3.5</v>
      </c>
      <c r="H7">
        <v>3.3</v>
      </c>
      <c r="I7">
        <v>1</v>
      </c>
      <c r="J7">
        <v>0</v>
      </c>
      <c r="K7">
        <v>0</v>
      </c>
      <c r="L7">
        <v>0</v>
      </c>
      <c r="Z7" t="s">
        <v>12</v>
      </c>
      <c r="AA7" s="9">
        <f t="shared" si="0"/>
        <v>0</v>
      </c>
      <c r="AB7">
        <v>0</v>
      </c>
    </row>
    <row r="8" spans="6:42" x14ac:dyDescent="0.2">
      <c r="F8" t="s">
        <v>13</v>
      </c>
      <c r="G8">
        <v>0</v>
      </c>
      <c r="H8">
        <v>0</v>
      </c>
      <c r="I8">
        <v>71.400000000000006</v>
      </c>
      <c r="J8">
        <v>28.3</v>
      </c>
      <c r="K8">
        <v>0.15</v>
      </c>
      <c r="L8">
        <v>0</v>
      </c>
      <c r="P8" s="1"/>
      <c r="Z8" t="s">
        <v>13</v>
      </c>
      <c r="AA8" s="19">
        <f t="shared" si="0"/>
        <v>18.909614060070918</v>
      </c>
      <c r="AB8">
        <f>N70*2+N71*3+AC42+AC46*2+AC48</f>
        <v>88656.021850116464</v>
      </c>
    </row>
    <row r="9" spans="6:42" x14ac:dyDescent="0.2">
      <c r="F9" t="s">
        <v>14</v>
      </c>
      <c r="G9">
        <v>2160</v>
      </c>
      <c r="H9">
        <v>2070</v>
      </c>
      <c r="I9">
        <v>7160</v>
      </c>
      <c r="J9">
        <v>10450</v>
      </c>
      <c r="K9">
        <v>8180</v>
      </c>
      <c r="L9">
        <v>5000.5</v>
      </c>
      <c r="P9" s="1"/>
      <c r="Z9" t="s">
        <v>14</v>
      </c>
      <c r="AA9" s="9">
        <f>SUM(AB2:AB8)*W11*Y11/X11/1000</f>
        <v>11615.873103991473</v>
      </c>
    </row>
    <row r="10" spans="6:42" x14ac:dyDescent="0.2">
      <c r="F10" t="s">
        <v>15</v>
      </c>
      <c r="G10">
        <v>20</v>
      </c>
      <c r="H10">
        <v>390</v>
      </c>
      <c r="I10">
        <v>520</v>
      </c>
      <c r="J10">
        <v>850</v>
      </c>
      <c r="K10">
        <v>20</v>
      </c>
      <c r="L10">
        <v>20</v>
      </c>
      <c r="P10" s="1"/>
      <c r="Z10" t="s">
        <v>15</v>
      </c>
      <c r="AA10" s="17" t="s">
        <v>162</v>
      </c>
    </row>
    <row r="11" spans="6:42" x14ac:dyDescent="0.2">
      <c r="F11" t="s">
        <v>16</v>
      </c>
      <c r="G11">
        <v>2</v>
      </c>
      <c r="H11">
        <v>1.9</v>
      </c>
      <c r="I11">
        <v>1.9</v>
      </c>
      <c r="J11">
        <v>1.7</v>
      </c>
      <c r="K11">
        <v>1.6</v>
      </c>
      <c r="L11">
        <v>1.5</v>
      </c>
      <c r="P11" s="1"/>
      <c r="W11">
        <v>8.3140000000000006E-2</v>
      </c>
      <c r="X11">
        <v>1</v>
      </c>
      <c r="Y11">
        <v>298</v>
      </c>
      <c r="Z11" t="s">
        <v>16</v>
      </c>
      <c r="AA11" s="17"/>
    </row>
    <row r="12" spans="6:42" x14ac:dyDescent="0.2">
      <c r="P12" s="1"/>
      <c r="Q12" s="2" t="s">
        <v>188</v>
      </c>
      <c r="AA12" t="s">
        <v>122</v>
      </c>
      <c r="AB12" t="s">
        <v>123</v>
      </c>
      <c r="AC12" t="s">
        <v>124</v>
      </c>
      <c r="AD12" t="s">
        <v>190</v>
      </c>
    </row>
    <row r="13" spans="6:42" x14ac:dyDescent="0.2">
      <c r="O13" t="s">
        <v>0</v>
      </c>
      <c r="P13" t="s">
        <v>214</v>
      </c>
      <c r="R13" t="s">
        <v>132</v>
      </c>
      <c r="S13" t="s">
        <v>131</v>
      </c>
      <c r="V13" t="s">
        <v>0</v>
      </c>
      <c r="W13" t="s">
        <v>187</v>
      </c>
      <c r="X13" t="s">
        <v>226</v>
      </c>
      <c r="Z13" t="s">
        <v>161</v>
      </c>
      <c r="AA13" s="6">
        <v>0.06</v>
      </c>
      <c r="AB13" s="6">
        <v>0.1</v>
      </c>
      <c r="AC13" s="18">
        <f>AVERAGE(AA13:AB13)</f>
        <v>0.08</v>
      </c>
      <c r="AD13" s="23">
        <f>-AC13*SUM(P76,AG52)</f>
        <v>2561470.9790971237</v>
      </c>
    </row>
    <row r="14" spans="6:42" x14ac:dyDescent="0.2">
      <c r="O14" t="s">
        <v>137</v>
      </c>
      <c r="P14" s="1">
        <f>2871.7</f>
        <v>2871.7</v>
      </c>
      <c r="Q14" s="1">
        <v>2871.5</v>
      </c>
      <c r="V14" t="s">
        <v>189</v>
      </c>
      <c r="W14" s="1">
        <f>2871.7</f>
        <v>2871.7</v>
      </c>
      <c r="X14" s="4" t="s">
        <v>225</v>
      </c>
    </row>
    <row r="15" spans="6:42" x14ac:dyDescent="0.2">
      <c r="O15" t="s">
        <v>13</v>
      </c>
      <c r="P15" s="1">
        <v>100</v>
      </c>
      <c r="R15">
        <f>($A$34)*($P$16*P15/100*1000)/($E$24*$B$34)</f>
        <v>206340.72390227206</v>
      </c>
      <c r="S15" s="5">
        <f>R15*18/1000</f>
        <v>3714.1330302408969</v>
      </c>
      <c r="V15" t="s">
        <v>131</v>
      </c>
      <c r="W15" s="1">
        <v>4700</v>
      </c>
      <c r="X15" s="24">
        <f>W14*W15</f>
        <v>13496990</v>
      </c>
      <c r="AA15" t="s">
        <v>126</v>
      </c>
      <c r="AB15" t="s">
        <v>126</v>
      </c>
      <c r="AI15" t="s">
        <v>0</v>
      </c>
      <c r="AJ15" t="s">
        <v>19</v>
      </c>
      <c r="AK15" t="s">
        <v>226</v>
      </c>
      <c r="AM15" t="s">
        <v>0</v>
      </c>
      <c r="AN15" t="s">
        <v>236</v>
      </c>
      <c r="AO15" t="s">
        <v>132</v>
      </c>
      <c r="AP15" t="s">
        <v>131</v>
      </c>
    </row>
    <row r="16" spans="6:42" x14ac:dyDescent="0.2">
      <c r="O16" t="s">
        <v>14</v>
      </c>
      <c r="P16" s="1">
        <f>S33/100*S34</f>
        <v>5112.2400000000007</v>
      </c>
      <c r="AI16" t="s">
        <v>189</v>
      </c>
      <c r="AJ16" s="1">
        <f>84</f>
        <v>84</v>
      </c>
      <c r="AK16" s="4" t="s">
        <v>225</v>
      </c>
      <c r="AM16" t="s">
        <v>137</v>
      </c>
      <c r="AN16" s="1">
        <v>84</v>
      </c>
    </row>
    <row r="17" spans="3:46" x14ac:dyDescent="0.2">
      <c r="O17" t="s">
        <v>15</v>
      </c>
      <c r="P17" s="1">
        <f>W17</f>
        <v>255</v>
      </c>
      <c r="Q17" s="1">
        <v>236</v>
      </c>
      <c r="R17" s="4" t="s">
        <v>225</v>
      </c>
      <c r="V17" t="s">
        <v>15</v>
      </c>
      <c r="W17" s="1">
        <v>255</v>
      </c>
      <c r="AI17" t="s">
        <v>131</v>
      </c>
      <c r="AJ17" s="1">
        <v>4700</v>
      </c>
      <c r="AK17" s="24">
        <f>AJ16*AJ17</f>
        <v>394800</v>
      </c>
      <c r="AM17" t="s">
        <v>13</v>
      </c>
      <c r="AN17" s="1">
        <v>100</v>
      </c>
      <c r="AO17" s="5">
        <f>AC33-AP33</f>
        <v>118869.60298227456</v>
      </c>
      <c r="AP17" s="5">
        <f>AO17*18/1000</f>
        <v>2139.6528536809424</v>
      </c>
      <c r="AQ17" s="5"/>
    </row>
    <row r="18" spans="3:46" x14ac:dyDescent="0.2">
      <c r="O18" t="s">
        <v>16</v>
      </c>
      <c r="P18" s="1">
        <v>3</v>
      </c>
      <c r="Q18" s="1">
        <v>1.9</v>
      </c>
      <c r="V18" t="s">
        <v>16</v>
      </c>
      <c r="W18" s="1">
        <v>3</v>
      </c>
      <c r="AI18" t="s">
        <v>15</v>
      </c>
      <c r="AJ18" s="1">
        <v>255</v>
      </c>
      <c r="AM18" t="s">
        <v>15</v>
      </c>
      <c r="AN18" s="1">
        <v>20</v>
      </c>
      <c r="AO18" s="4" t="s">
        <v>225</v>
      </c>
    </row>
    <row r="19" spans="3:46" x14ac:dyDescent="0.2">
      <c r="AI19" t="s">
        <v>16</v>
      </c>
      <c r="AJ19" s="1">
        <v>3</v>
      </c>
      <c r="AM19" t="s">
        <v>16</v>
      </c>
      <c r="AN19" s="1">
        <v>0.1</v>
      </c>
    </row>
    <row r="22" spans="3:46" x14ac:dyDescent="0.2">
      <c r="AH22" t="s">
        <v>179</v>
      </c>
      <c r="AI22" t="s">
        <v>180</v>
      </c>
    </row>
    <row r="23" spans="3:46" x14ac:dyDescent="0.2">
      <c r="E23" t="s">
        <v>196</v>
      </c>
      <c r="AH23" s="1">
        <v>350</v>
      </c>
      <c r="AI23" s="1">
        <v>437.86394162283659</v>
      </c>
    </row>
    <row r="24" spans="3:46" x14ac:dyDescent="0.2">
      <c r="E24">
        <v>8.3140000000000006E-2</v>
      </c>
    </row>
    <row r="26" spans="3:46" x14ac:dyDescent="0.2">
      <c r="C26" t="s">
        <v>0</v>
      </c>
      <c r="D26" t="s">
        <v>1</v>
      </c>
      <c r="E26" t="s">
        <v>132</v>
      </c>
      <c r="G26" t="s">
        <v>149</v>
      </c>
      <c r="H26" t="s">
        <v>139</v>
      </c>
      <c r="J26" t="s">
        <v>0</v>
      </c>
      <c r="K26" t="s">
        <v>2</v>
      </c>
      <c r="L26" t="s">
        <v>132</v>
      </c>
      <c r="O26" t="s">
        <v>149</v>
      </c>
      <c r="P26" t="s">
        <v>139</v>
      </c>
      <c r="R26" t="s">
        <v>0</v>
      </c>
      <c r="S26" t="s">
        <v>3</v>
      </c>
      <c r="T26" t="s">
        <v>132</v>
      </c>
      <c r="U26" t="s">
        <v>149</v>
      </c>
      <c r="V26" t="s">
        <v>139</v>
      </c>
      <c r="W26" t="s">
        <v>133</v>
      </c>
      <c r="X26" t="s">
        <v>138</v>
      </c>
      <c r="Y26" t="s">
        <v>134</v>
      </c>
      <c r="AA26" t="s">
        <v>0</v>
      </c>
      <c r="AB26" t="s">
        <v>4</v>
      </c>
      <c r="AC26" t="s">
        <v>132</v>
      </c>
      <c r="AE26" t="s">
        <v>149</v>
      </c>
      <c r="AF26" t="s">
        <v>157</v>
      </c>
      <c r="AK26" t="s">
        <v>149</v>
      </c>
      <c r="AL26" t="s">
        <v>157</v>
      </c>
      <c r="AN26" t="s">
        <v>0</v>
      </c>
      <c r="AO26" t="s">
        <v>5</v>
      </c>
      <c r="AP26" t="s">
        <v>132</v>
      </c>
      <c r="AR26" t="s">
        <v>0</v>
      </c>
      <c r="AS26" t="s">
        <v>6</v>
      </c>
      <c r="AT26" t="s">
        <v>132</v>
      </c>
    </row>
    <row r="27" spans="3:46" x14ac:dyDescent="0.2">
      <c r="C27" t="s">
        <v>7</v>
      </c>
      <c r="D27" s="1">
        <v>0</v>
      </c>
      <c r="E27">
        <f t="shared" ref="E27:E33" si="1">($A$34)*($D$34*D27/100*1000)/($E$24*$B$34)</f>
        <v>0</v>
      </c>
      <c r="G27" cm="1">
        <f t="array" ref="G27:G33">N91:N97</f>
        <v>11.412696539760386</v>
      </c>
      <c r="H27">
        <f>G27*L27</f>
        <v>45769.226007986523</v>
      </c>
      <c r="J27" t="s">
        <v>7</v>
      </c>
      <c r="K27" s="1">
        <v>4.8</v>
      </c>
      <c r="L27">
        <f t="shared" ref="L27:L33" si="2">($A$34)*($K$34*K27/100*1000)/($E$24*$B$34)</f>
        <v>4010.3779022365438</v>
      </c>
      <c r="O27" cm="1">
        <f t="array" ref="O27:O33">N99:N105</f>
        <v>3.9119753691091494</v>
      </c>
      <c r="P27" s="5">
        <f>T27*O27</f>
        <v>12435.851715753834</v>
      </c>
      <c r="R27" t="s">
        <v>7</v>
      </c>
      <c r="S27" s="1">
        <v>1.1000000000000001</v>
      </c>
      <c r="T27">
        <f t="shared" ref="T27:T33" si="3">($A$34)*($S$34*S27/100*1000)/($E$24*$B$34)</f>
        <v>3178.9187155812219</v>
      </c>
      <c r="U27" cm="1">
        <f t="array" ref="U27:U33">N107:N113</f>
        <v>10.046576149436682</v>
      </c>
      <c r="V27" s="5">
        <f>T27*U27</f>
        <v>31937.248948956196</v>
      </c>
      <c r="W27" s="17" t="s">
        <v>77</v>
      </c>
      <c r="X27" s="5">
        <f>Z108*AC121</f>
        <v>13778604.267659066</v>
      </c>
      <c r="Y27" t="s">
        <v>122</v>
      </c>
      <c r="AA27" t="s">
        <v>7</v>
      </c>
      <c r="AB27" s="1">
        <v>51.9</v>
      </c>
      <c r="AC27">
        <f t="shared" ref="AC27:AC33" si="4">($A$34)*($AB$34*AB27/100*1000)/($E$24*$B$34)</f>
        <v>218905.84814487729</v>
      </c>
      <c r="AE27" cm="1">
        <f t="array" ref="AE27:AE33">N115:N121</f>
        <v>-15.163907852159891</v>
      </c>
      <c r="AF27" s="5">
        <f>AC27*AE27</f>
        <v>-3319468.1095678257</v>
      </c>
      <c r="AK27" cm="1">
        <f t="array" ref="AK27:AK33">N123:N129</f>
        <v>-12.85310678357296</v>
      </c>
      <c r="AL27" s="5">
        <f>AK27*AP27</f>
        <v>-3165730.6614403776</v>
      </c>
      <c r="AN27" t="s">
        <v>7</v>
      </c>
      <c r="AO27" s="1">
        <v>74.599999999999994</v>
      </c>
      <c r="AP27">
        <f t="shared" ref="AP27:AP33" si="5">($A$34)*($AO$34*AO27/100*1000)/($E$24*$B$34)</f>
        <v>246300.81386131258</v>
      </c>
      <c r="AR27" t="s">
        <v>7</v>
      </c>
      <c r="AS27" s="1">
        <v>99.99</v>
      </c>
      <c r="AT27">
        <f>AS27/100*$AT$34</f>
        <v>201810.48017978889</v>
      </c>
    </row>
    <row r="28" spans="3:46" x14ac:dyDescent="0.2">
      <c r="C28" t="s">
        <v>8</v>
      </c>
      <c r="D28" s="1">
        <v>1</v>
      </c>
      <c r="E28">
        <f t="shared" si="1"/>
        <v>871.82128309490088</v>
      </c>
      <c r="G28">
        <v>9.0299095475672946</v>
      </c>
      <c r="H28">
        <f t="shared" ref="H28:H33" si="6">G28*L28</f>
        <v>7544.4478559913887</v>
      </c>
      <c r="J28" t="s">
        <v>8</v>
      </c>
      <c r="K28" s="1">
        <v>1</v>
      </c>
      <c r="L28">
        <f t="shared" si="2"/>
        <v>835.49539629927995</v>
      </c>
      <c r="O28">
        <v>3.7626703402191102</v>
      </c>
      <c r="P28" s="5">
        <f t="shared" ref="P28:P33" si="7">T28*O28</f>
        <v>3262.1517722958797</v>
      </c>
      <c r="R28" t="s">
        <v>8</v>
      </c>
      <c r="S28" s="1">
        <v>0.3</v>
      </c>
      <c r="T28">
        <f t="shared" si="3"/>
        <v>866.9778315221514</v>
      </c>
      <c r="U28">
        <v>10.307807308985254</v>
      </c>
      <c r="V28" s="5">
        <f t="shared" ref="V28:V33" si="8">T28*U28</f>
        <v>8936.6404284922173</v>
      </c>
      <c r="W28" s="17" t="s">
        <v>79</v>
      </c>
      <c r="X28">
        <f>Z107*AC126</f>
        <v>-659661.68557885196</v>
      </c>
      <c r="Y28" s="6">
        <v>0.01</v>
      </c>
      <c r="AA28" t="s">
        <v>8</v>
      </c>
      <c r="AB28" s="1">
        <v>0.2</v>
      </c>
      <c r="AC28">
        <f t="shared" si="4"/>
        <v>843.5678155871957</v>
      </c>
      <c r="AE28">
        <v>-15.183444629677545</v>
      </c>
      <c r="AF28" s="5">
        <f t="shared" ref="AF28:AF33" si="9">AC28*AE28</f>
        <v>-12808.265219346224</v>
      </c>
      <c r="AK28">
        <v>-10.390820105298872</v>
      </c>
      <c r="AL28" s="5">
        <f t="shared" ref="AL28:AL33" si="10">AK28*AP28</f>
        <v>-8576.6335409571093</v>
      </c>
      <c r="AN28" t="s">
        <v>8</v>
      </c>
      <c r="AO28" s="1">
        <v>0.25</v>
      </c>
      <c r="AP28">
        <f t="shared" si="5"/>
        <v>825.40487218938529</v>
      </c>
      <c r="AR28" t="s">
        <v>8</v>
      </c>
      <c r="AS28" s="1">
        <v>0.01</v>
      </c>
      <c r="AT28">
        <f t="shared" ref="AT28:AT33" si="11">AS28/100*$AT$34</f>
        <v>20.183066324611353</v>
      </c>
    </row>
    <row r="29" spans="3:46" x14ac:dyDescent="0.2">
      <c r="C29" t="s">
        <v>9</v>
      </c>
      <c r="D29" s="1">
        <v>0</v>
      </c>
      <c r="E29">
        <f t="shared" si="1"/>
        <v>0</v>
      </c>
      <c r="G29">
        <v>0</v>
      </c>
      <c r="H29">
        <f t="shared" si="6"/>
        <v>0</v>
      </c>
      <c r="J29" t="s">
        <v>9</v>
      </c>
      <c r="K29" s="1">
        <v>0</v>
      </c>
      <c r="L29">
        <f t="shared" si="2"/>
        <v>0</v>
      </c>
      <c r="O29">
        <v>0</v>
      </c>
      <c r="P29" s="5">
        <f t="shared" si="7"/>
        <v>0</v>
      </c>
      <c r="R29" t="s">
        <v>9</v>
      </c>
      <c r="S29" s="1">
        <v>0</v>
      </c>
      <c r="T29">
        <f t="shared" si="3"/>
        <v>0</v>
      </c>
      <c r="U29">
        <v>0</v>
      </c>
      <c r="V29" s="5">
        <f t="shared" si="8"/>
        <v>0</v>
      </c>
      <c r="W29" s="17" t="s">
        <v>82</v>
      </c>
      <c r="X29" t="s">
        <v>113</v>
      </c>
      <c r="Y29" t="s">
        <v>123</v>
      </c>
      <c r="AA29" t="s">
        <v>9</v>
      </c>
      <c r="AB29" s="1">
        <v>10.7</v>
      </c>
      <c r="AC29">
        <f t="shared" si="4"/>
        <v>45130.878133914965</v>
      </c>
      <c r="AE29">
        <v>-15.976904863759453</v>
      </c>
      <c r="AF29" s="5">
        <f t="shared" si="9"/>
        <v>-721051.74636348116</v>
      </c>
      <c r="AK29">
        <v>-11.985408991271886</v>
      </c>
      <c r="AL29" s="5">
        <f t="shared" si="10"/>
        <v>-209727.67750345953</v>
      </c>
      <c r="AN29" t="s">
        <v>9</v>
      </c>
      <c r="AO29" s="1">
        <v>5.3</v>
      </c>
      <c r="AP29">
        <f t="shared" si="5"/>
        <v>17498.583290414968</v>
      </c>
      <c r="AR29" t="s">
        <v>9</v>
      </c>
      <c r="AS29" s="1">
        <v>0</v>
      </c>
      <c r="AT29">
        <f t="shared" si="11"/>
        <v>0</v>
      </c>
    </row>
    <row r="30" spans="3:46" x14ac:dyDescent="0.2">
      <c r="C30" t="s">
        <v>10</v>
      </c>
      <c r="D30" s="1">
        <v>0.5</v>
      </c>
      <c r="E30">
        <f t="shared" si="1"/>
        <v>435.91064154745044</v>
      </c>
      <c r="G30">
        <v>16.648488170542745</v>
      </c>
      <c r="H30">
        <f t="shared" si="6"/>
        <v>6954.8676109157423</v>
      </c>
      <c r="J30" t="s">
        <v>10</v>
      </c>
      <c r="K30" s="1">
        <v>0.5</v>
      </c>
      <c r="L30">
        <f t="shared" si="2"/>
        <v>417.74769814963997</v>
      </c>
      <c r="O30">
        <v>6.5807519704037611</v>
      </c>
      <c r="P30" s="5">
        <f t="shared" si="7"/>
        <v>1901.7886910285927</v>
      </c>
      <c r="R30" t="s">
        <v>10</v>
      </c>
      <c r="S30" s="1">
        <v>0.1</v>
      </c>
      <c r="T30">
        <f t="shared" si="3"/>
        <v>288.9926105073838</v>
      </c>
      <c r="U30">
        <v>17.816398180811717</v>
      </c>
      <c r="V30" s="5">
        <f t="shared" si="8"/>
        <v>5148.8074201117815</v>
      </c>
      <c r="W30" s="17" t="s">
        <v>83</v>
      </c>
      <c r="X30" s="5">
        <f>Z109*AC135</f>
        <v>1206475.1787105589</v>
      </c>
      <c r="Y30" s="6">
        <v>0.05</v>
      </c>
      <c r="AA30" t="s">
        <v>10</v>
      </c>
      <c r="AB30" s="1">
        <v>5.0999999999999996</v>
      </c>
      <c r="AC30">
        <f t="shared" si="4"/>
        <v>21510.979297473488</v>
      </c>
      <c r="AE30">
        <v>-26.356922871727214</v>
      </c>
      <c r="AF30" s="5">
        <f t="shared" si="9"/>
        <v>-566963.22223882959</v>
      </c>
      <c r="AK30">
        <v>-19.035556539606532</v>
      </c>
      <c r="AL30" s="5">
        <f t="shared" si="10"/>
        <v>-930152.83386756259</v>
      </c>
      <c r="AN30" t="s">
        <v>10</v>
      </c>
      <c r="AO30" s="1">
        <v>14.8</v>
      </c>
      <c r="AP30">
        <f t="shared" si="5"/>
        <v>48863.968433611612</v>
      </c>
      <c r="AR30" t="s">
        <v>10</v>
      </c>
      <c r="AS30" s="1">
        <v>0</v>
      </c>
      <c r="AT30">
        <f t="shared" si="11"/>
        <v>0</v>
      </c>
    </row>
    <row r="31" spans="3:46" x14ac:dyDescent="0.2">
      <c r="C31" t="s">
        <v>11</v>
      </c>
      <c r="D31" s="1">
        <v>95</v>
      </c>
      <c r="E31">
        <f t="shared" si="1"/>
        <v>82823.021894015576</v>
      </c>
      <c r="G31">
        <v>14.130909209883855</v>
      </c>
      <c r="H31">
        <f t="shared" si="6"/>
        <v>1067290.3869704476</v>
      </c>
      <c r="J31" t="s">
        <v>11</v>
      </c>
      <c r="K31" s="1">
        <v>90.4</v>
      </c>
      <c r="L31">
        <f t="shared" si="2"/>
        <v>75528.783825454913</v>
      </c>
      <c r="O31">
        <v>7.3660902678144407</v>
      </c>
      <c r="P31" s="5">
        <f t="shared" si="7"/>
        <v>555602.61614519823</v>
      </c>
      <c r="R31" t="s">
        <v>11</v>
      </c>
      <c r="S31" s="1">
        <v>26.1</v>
      </c>
      <c r="T31">
        <f t="shared" si="3"/>
        <v>75427.071342427167</v>
      </c>
      <c r="U31">
        <v>22.556550285762746</v>
      </c>
      <c r="V31" s="5">
        <f t="shared" si="8"/>
        <v>1701374.5276432727</v>
      </c>
      <c r="W31" s="1"/>
      <c r="Y31" t="s">
        <v>124</v>
      </c>
      <c r="AA31" t="s">
        <v>11</v>
      </c>
      <c r="AB31" s="1">
        <v>3.8</v>
      </c>
      <c r="AC31">
        <f t="shared" si="4"/>
        <v>16027.78849615672</v>
      </c>
      <c r="AE31">
        <v>-31.977800625611639</v>
      </c>
      <c r="AF31" s="5">
        <f t="shared" si="9"/>
        <v>-512533.42499957141</v>
      </c>
      <c r="AK31">
        <v>-16.725299201395305</v>
      </c>
      <c r="AL31" s="5">
        <f t="shared" si="10"/>
        <v>-270580.81161327561</v>
      </c>
      <c r="AN31" t="s">
        <v>11</v>
      </c>
      <c r="AO31" s="1">
        <v>4.9000000000000004</v>
      </c>
      <c r="AP31">
        <f t="shared" si="5"/>
        <v>16177.935494911952</v>
      </c>
      <c r="AR31" t="s">
        <v>11</v>
      </c>
      <c r="AS31" s="1">
        <v>0</v>
      </c>
      <c r="AT31">
        <f t="shared" si="11"/>
        <v>0</v>
      </c>
    </row>
    <row r="32" spans="3:46" x14ac:dyDescent="0.2">
      <c r="C32" t="s">
        <v>12</v>
      </c>
      <c r="D32" s="1">
        <v>3.5</v>
      </c>
      <c r="E32">
        <f t="shared" si="1"/>
        <v>3051.3744908321528</v>
      </c>
      <c r="G32">
        <v>14.130909209883855</v>
      </c>
      <c r="H32">
        <f t="shared" si="6"/>
        <v>38960.821648257494</v>
      </c>
      <c r="J32" t="s">
        <v>12</v>
      </c>
      <c r="K32" s="1">
        <v>3.3</v>
      </c>
      <c r="L32">
        <f t="shared" si="2"/>
        <v>2757.1348077876241</v>
      </c>
      <c r="O32">
        <v>7.3660902678144407</v>
      </c>
      <c r="P32" s="5">
        <f t="shared" si="7"/>
        <v>21287.456557287293</v>
      </c>
      <c r="R32" t="s">
        <v>12</v>
      </c>
      <c r="S32" s="1">
        <v>1</v>
      </c>
      <c r="T32">
        <f t="shared" si="3"/>
        <v>2889.9261050738382</v>
      </c>
      <c r="U32">
        <v>22.556550285762746</v>
      </c>
      <c r="V32" s="5">
        <f t="shared" si="8"/>
        <v>65186.76351123651</v>
      </c>
      <c r="W32" s="1"/>
      <c r="Y32" s="18">
        <f>AVERAGE(Y28,Y30)</f>
        <v>3.0000000000000002E-2</v>
      </c>
      <c r="AA32" t="s">
        <v>12</v>
      </c>
      <c r="AB32" s="1">
        <v>0</v>
      </c>
      <c r="AC32">
        <f t="shared" si="4"/>
        <v>0</v>
      </c>
      <c r="AE32">
        <v>-31.977800625611639</v>
      </c>
      <c r="AF32" s="5">
        <f t="shared" si="9"/>
        <v>0</v>
      </c>
      <c r="AK32">
        <v>-16.725299201395305</v>
      </c>
      <c r="AL32" s="5">
        <f t="shared" si="10"/>
        <v>0</v>
      </c>
      <c r="AN32" t="s">
        <v>12</v>
      </c>
      <c r="AO32" s="1">
        <v>0</v>
      </c>
      <c r="AP32">
        <f t="shared" si="5"/>
        <v>0</v>
      </c>
      <c r="AR32" t="s">
        <v>12</v>
      </c>
      <c r="AS32" s="1">
        <v>0</v>
      </c>
      <c r="AT32">
        <f t="shared" si="11"/>
        <v>0</v>
      </c>
    </row>
    <row r="33" spans="1:46" x14ac:dyDescent="0.2">
      <c r="A33" t="s">
        <v>197</v>
      </c>
      <c r="B33" t="s">
        <v>108</v>
      </c>
      <c r="C33" t="s">
        <v>13</v>
      </c>
      <c r="D33" s="1">
        <v>0</v>
      </c>
      <c r="E33">
        <f t="shared" si="1"/>
        <v>0</v>
      </c>
      <c r="G33">
        <v>12.671218017974889</v>
      </c>
      <c r="H33">
        <f t="shared" si="6"/>
        <v>0</v>
      </c>
      <c r="J33" t="s">
        <v>13</v>
      </c>
      <c r="K33" s="1">
        <v>0</v>
      </c>
      <c r="L33">
        <f t="shared" si="2"/>
        <v>0</v>
      </c>
      <c r="O33">
        <v>10.374144100684674</v>
      </c>
      <c r="P33" s="5">
        <f t="shared" si="7"/>
        <v>2140608.403601761</v>
      </c>
      <c r="R33" t="s">
        <v>13</v>
      </c>
      <c r="S33" s="1">
        <v>71.400000000000006</v>
      </c>
      <c r="T33">
        <f t="shared" si="3"/>
        <v>206340.72390227206</v>
      </c>
      <c r="U33">
        <v>13.380599225910006</v>
      </c>
      <c r="V33" s="5">
        <f t="shared" si="8"/>
        <v>2760962.5305204517</v>
      </c>
      <c r="W33" s="1"/>
      <c r="AA33" t="s">
        <v>13</v>
      </c>
      <c r="AB33" s="1">
        <v>28.3</v>
      </c>
      <c r="AC33">
        <f t="shared" si="4"/>
        <v>119364.8459055882</v>
      </c>
      <c r="AE33">
        <v>-19.716904902713456</v>
      </c>
      <c r="AF33" s="5">
        <f t="shared" si="9"/>
        <v>-2353505.3154475279</v>
      </c>
      <c r="AK33">
        <v>-14.44197347644176</v>
      </c>
      <c r="AL33" s="5">
        <f t="shared" si="10"/>
        <v>-7152.285162890942</v>
      </c>
      <c r="AN33" t="s">
        <v>13</v>
      </c>
      <c r="AO33" s="1">
        <v>0.15</v>
      </c>
      <c r="AP33">
        <f t="shared" si="5"/>
        <v>495.2429233136312</v>
      </c>
      <c r="AR33" t="s">
        <v>13</v>
      </c>
      <c r="AS33" s="1">
        <v>0</v>
      </c>
      <c r="AT33">
        <f t="shared" si="11"/>
        <v>0</v>
      </c>
    </row>
    <row r="34" spans="1:46" x14ac:dyDescent="0.2">
      <c r="A34">
        <v>1</v>
      </c>
      <c r="B34">
        <v>298</v>
      </c>
      <c r="C34" t="s">
        <v>14</v>
      </c>
      <c r="D34" s="1">
        <v>2160</v>
      </c>
      <c r="E34">
        <f>($A$34)*($D$34*1000)/($E$24*$B$34)</f>
        <v>87182.128309490086</v>
      </c>
      <c r="J34" t="s">
        <v>14</v>
      </c>
      <c r="K34" s="1">
        <v>2070</v>
      </c>
      <c r="L34">
        <f>($A$34)*($K$34*1000)/($E$24*$B$34)</f>
        <v>83549.539629927996</v>
      </c>
      <c r="R34" t="s">
        <v>14</v>
      </c>
      <c r="S34" s="1">
        <v>7160</v>
      </c>
      <c r="T34">
        <f>($A$34)*($S$34*1000)/($E$24*$B$34)</f>
        <v>288992.61050738383</v>
      </c>
      <c r="AA34" t="s">
        <v>14</v>
      </c>
      <c r="AB34" s="1">
        <v>10450</v>
      </c>
      <c r="AC34">
        <f>($A$34)*($AB$34*1000)/($E$24*$B$34)</f>
        <v>421783.90779359784</v>
      </c>
      <c r="AE34" t="s">
        <v>116</v>
      </c>
      <c r="AF34" s="23">
        <f>SUM(AF27:AF33)</f>
        <v>-7486330.0838365816</v>
      </c>
      <c r="AK34" t="s">
        <v>182</v>
      </c>
      <c r="AL34" s="5">
        <f>SUM(AL27:AL33)</f>
        <v>-4591920.9031285243</v>
      </c>
      <c r="AN34" t="s">
        <v>14</v>
      </c>
      <c r="AO34" s="1">
        <v>8180</v>
      </c>
      <c r="AP34">
        <f>($A$34)*($AO$34*1000)/($E$24*$B$34)</f>
        <v>330161.94887575414</v>
      </c>
      <c r="AR34" t="s">
        <v>14</v>
      </c>
      <c r="AS34" s="1">
        <v>5000.5</v>
      </c>
      <c r="AT34">
        <f>($A$34)*($AS$34*1000)/($E$24*$B$34)</f>
        <v>201830.66324611352</v>
      </c>
    </row>
    <row r="35" spans="1:46" x14ac:dyDescent="0.2">
      <c r="C35" t="s">
        <v>15</v>
      </c>
      <c r="D35" s="1">
        <v>20</v>
      </c>
      <c r="J35" t="s">
        <v>15</v>
      </c>
      <c r="K35" s="1">
        <v>390</v>
      </c>
      <c r="R35" t="s">
        <v>15</v>
      </c>
      <c r="S35" s="1">
        <v>520</v>
      </c>
      <c r="AA35" t="s">
        <v>15</v>
      </c>
      <c r="AB35" s="1">
        <v>850</v>
      </c>
      <c r="AK35" t="s">
        <v>176</v>
      </c>
      <c r="AL35" s="23">
        <f>AL34+H37</f>
        <v>-3425401.1530349255</v>
      </c>
      <c r="AN35" t="s">
        <v>15</v>
      </c>
      <c r="AO35" s="1">
        <v>20</v>
      </c>
      <c r="AR35" t="s">
        <v>15</v>
      </c>
      <c r="AS35" s="1">
        <v>20</v>
      </c>
    </row>
    <row r="36" spans="1:46" x14ac:dyDescent="0.2">
      <c r="C36" t="s">
        <v>16</v>
      </c>
      <c r="D36" s="1">
        <v>2</v>
      </c>
      <c r="J36" t="s">
        <v>16</v>
      </c>
      <c r="K36" s="1">
        <v>1.9</v>
      </c>
      <c r="R36" t="s">
        <v>16</v>
      </c>
      <c r="S36" s="1">
        <v>1.9</v>
      </c>
      <c r="AA36" t="s">
        <v>16</v>
      </c>
      <c r="AB36" s="1">
        <v>1.7</v>
      </c>
      <c r="AN36" t="s">
        <v>16</v>
      </c>
      <c r="AO36" s="1">
        <v>1.6</v>
      </c>
      <c r="AR36" t="s">
        <v>16</v>
      </c>
      <c r="AS36" s="1">
        <v>1.5</v>
      </c>
    </row>
    <row r="37" spans="1:46" x14ac:dyDescent="0.2">
      <c r="H37" s="23">
        <f>SUM(H27:H33)</f>
        <v>1166519.7500935989</v>
      </c>
      <c r="J37" t="s">
        <v>116</v>
      </c>
      <c r="P37" s="23">
        <f>SUM(P27:P33)</f>
        <v>2735098.2684833249</v>
      </c>
      <c r="R37" t="s">
        <v>116</v>
      </c>
      <c r="V37" s="23">
        <f>SUM(V27:V33)</f>
        <v>4573546.5184725206</v>
      </c>
      <c r="X37" s="23">
        <f>SUM(X27:X28,X30)</f>
        <v>14325417.760790775</v>
      </c>
      <c r="Y37" s="23">
        <f>-Y32*SUM(P76,AG52)</f>
        <v>960551.61716142145</v>
      </c>
    </row>
    <row r="39" spans="1:46" x14ac:dyDescent="0.2">
      <c r="O39" s="24"/>
      <c r="P39" s="24"/>
      <c r="Q39" s="25" t="s">
        <v>164</v>
      </c>
      <c r="R39" s="26"/>
      <c r="S39" s="25" t="s">
        <v>165</v>
      </c>
      <c r="T39" s="26"/>
      <c r="U39" s="27" t="s">
        <v>185</v>
      </c>
      <c r="V39" s="26"/>
      <c r="W39" s="24"/>
      <c r="X39" s="24"/>
      <c r="AI39" s="3"/>
    </row>
    <row r="40" spans="1:46" x14ac:dyDescent="0.2">
      <c r="O40" s="24"/>
      <c r="P40" s="24"/>
      <c r="Q40" s="28" t="s">
        <v>166</v>
      </c>
      <c r="R40" s="24" t="s">
        <v>167</v>
      </c>
      <c r="S40" s="28" t="s">
        <v>166</v>
      </c>
      <c r="T40" s="24" t="s">
        <v>167</v>
      </c>
      <c r="U40" s="29" t="s">
        <v>166</v>
      </c>
      <c r="V40" s="24" t="s">
        <v>167</v>
      </c>
      <c r="W40" s="24"/>
      <c r="X40" s="24"/>
    </row>
    <row r="41" spans="1:46" x14ac:dyDescent="0.2">
      <c r="O41" s="24"/>
      <c r="P41" s="24"/>
      <c r="Q41" s="28"/>
      <c r="R41" s="24"/>
      <c r="S41" s="28"/>
      <c r="T41" s="24"/>
      <c r="U41" s="29"/>
      <c r="V41" s="24"/>
      <c r="W41" s="24"/>
      <c r="X41" s="24"/>
      <c r="AA41" t="s">
        <v>0</v>
      </c>
      <c r="AB41" t="s">
        <v>26</v>
      </c>
      <c r="AC41" t="s">
        <v>132</v>
      </c>
      <c r="AD41" t="s">
        <v>149</v>
      </c>
      <c r="AE41" t="s">
        <v>135</v>
      </c>
      <c r="AF41" t="s">
        <v>136</v>
      </c>
      <c r="AG41" t="s">
        <v>140</v>
      </c>
      <c r="AI41" s="37" t="s">
        <v>212</v>
      </c>
    </row>
    <row r="42" spans="1:46" x14ac:dyDescent="0.2">
      <c r="N42" t="s">
        <v>304</v>
      </c>
      <c r="O42" s="26" t="s">
        <v>168</v>
      </c>
      <c r="P42" s="24"/>
      <c r="Q42" s="30">
        <f>AG52</f>
        <v>-25807959.931019023</v>
      </c>
      <c r="R42" s="24"/>
      <c r="S42" s="28"/>
      <c r="T42" s="24"/>
      <c r="U42" s="29">
        <f>Q42</f>
        <v>-25807959.931019023</v>
      </c>
      <c r="V42" s="24"/>
      <c r="W42" s="24"/>
      <c r="X42" s="24"/>
      <c r="AA42" t="s">
        <v>7</v>
      </c>
      <c r="AB42">
        <f t="shared" ref="AB42:AB48" si="12">AC42/$AC$49*100</f>
        <v>32.560964293212983</v>
      </c>
      <c r="AC42">
        <f t="shared" ref="AC42:AC49" si="13">AP27-AT27-AL61</f>
        <v>40479.955779287142</v>
      </c>
      <c r="AE42" s="1"/>
      <c r="AF42" s="1">
        <v>244</v>
      </c>
      <c r="AG42" s="5">
        <f>AF42*AC42*-1</f>
        <v>-9877109.2101460621</v>
      </c>
      <c r="AI42" s="21"/>
      <c r="AJ42" s="21" t="s">
        <v>208</v>
      </c>
      <c r="AK42" s="21" t="s">
        <v>149</v>
      </c>
      <c r="AL42" s="21" t="s">
        <v>139</v>
      </c>
    </row>
    <row r="43" spans="1:46" x14ac:dyDescent="0.2">
      <c r="N43" t="s">
        <v>303</v>
      </c>
      <c r="O43" s="26" t="s">
        <v>169</v>
      </c>
      <c r="P43" s="24"/>
      <c r="Q43" s="30">
        <f>P76</f>
        <v>-6210427.3076950237</v>
      </c>
      <c r="R43" s="24"/>
      <c r="S43" s="28"/>
      <c r="T43" s="24"/>
      <c r="U43" s="31">
        <f>Q43</f>
        <v>-6210427.3076950237</v>
      </c>
      <c r="V43" s="24"/>
      <c r="W43" s="24"/>
      <c r="X43" s="24"/>
      <c r="AA43" t="s">
        <v>8</v>
      </c>
      <c r="AB43">
        <f t="shared" si="12"/>
        <v>0.64737568214371344</v>
      </c>
      <c r="AC43">
        <f t="shared" si="13"/>
        <v>804.8207279667605</v>
      </c>
      <c r="AD43">
        <f>N142</f>
        <v>23.10038719677166</v>
      </c>
      <c r="AE43" s="1"/>
      <c r="AF43" s="1"/>
      <c r="AG43" s="5">
        <f>AC43*AD43</f>
        <v>18591.6704400198</v>
      </c>
      <c r="AI43" s="21" t="s">
        <v>209</v>
      </c>
      <c r="AJ43" s="21">
        <f>AP29-AC29</f>
        <v>-27632.294843499996</v>
      </c>
      <c r="AK43" s="21" cm="1">
        <f t="array" ref="AK43:AK49">N131:N137</f>
        <v>2.6457665774266363</v>
      </c>
      <c r="AL43" s="21">
        <f t="shared" ref="AL43:AL49" si="14">AK43*AP27</f>
        <v>651654.46130724007</v>
      </c>
    </row>
    <row r="44" spans="1:46" x14ac:dyDescent="0.2">
      <c r="N44" t="s">
        <v>301</v>
      </c>
      <c r="O44" s="24" t="s">
        <v>178</v>
      </c>
      <c r="P44" s="24"/>
      <c r="Q44" s="30">
        <f>R49*-1</f>
        <v>-4886049.5157026965</v>
      </c>
      <c r="R44" s="24"/>
      <c r="S44" s="28"/>
      <c r="T44" s="24"/>
      <c r="U44" s="31">
        <f>Q44</f>
        <v>-4886049.5157026965</v>
      </c>
      <c r="V44" s="24"/>
      <c r="W44" s="24"/>
      <c r="X44" s="24"/>
      <c r="AA44" t="s">
        <v>9</v>
      </c>
      <c r="AB44">
        <f t="shared" si="12"/>
        <v>14.075379647340339</v>
      </c>
      <c r="AC44">
        <f t="shared" si="13"/>
        <v>17498.583290414968</v>
      </c>
      <c r="AE44" s="1"/>
      <c r="AF44" s="1">
        <v>283.24</v>
      </c>
      <c r="AG44" s="5">
        <f>AF44*AC44*-1</f>
        <v>-4956298.7311771354</v>
      </c>
      <c r="AI44" s="21" t="s">
        <v>210</v>
      </c>
      <c r="AJ44" s="21">
        <f>AC141</f>
        <v>-35.812381541334219</v>
      </c>
      <c r="AK44" s="21">
        <v>2.4738775382047589</v>
      </c>
      <c r="AL44" s="21">
        <f t="shared" si="14"/>
        <v>2041.9505732340901</v>
      </c>
    </row>
    <row r="45" spans="1:46" x14ac:dyDescent="0.2">
      <c r="M45" s="3"/>
      <c r="N45" t="s">
        <v>311</v>
      </c>
      <c r="O45" s="26" t="s">
        <v>171</v>
      </c>
      <c r="P45" s="24"/>
      <c r="Q45" s="28"/>
      <c r="R45" s="23">
        <f>V37</f>
        <v>4573546.5184725206</v>
      </c>
      <c r="S45" s="28"/>
      <c r="T45" s="24"/>
      <c r="U45" s="29"/>
      <c r="V45" s="23">
        <f>R45</f>
        <v>4573546.5184725206</v>
      </c>
      <c r="W45" s="24"/>
      <c r="X45" s="24"/>
      <c r="AA45" t="s">
        <v>10</v>
      </c>
      <c r="AB45">
        <f t="shared" si="12"/>
        <v>39.304833732195668</v>
      </c>
      <c r="AC45">
        <f t="shared" si="13"/>
        <v>48863.968433611612</v>
      </c>
      <c r="AD45" s="17">
        <f>N143</f>
        <v>41.045638321758219</v>
      </c>
      <c r="AE45" s="1"/>
      <c r="AF45" s="1"/>
      <c r="AG45" s="9">
        <f>AC45*AD45</f>
        <v>2005652.7752918326</v>
      </c>
      <c r="AI45" s="21" t="s">
        <v>211</v>
      </c>
      <c r="AJ45" s="21">
        <f>-AJ43*AJ44</f>
        <v>-989578.28579806397</v>
      </c>
      <c r="AK45" s="21">
        <v>2.6664667467393541</v>
      </c>
      <c r="AL45" s="21">
        <f t="shared" si="14"/>
        <v>46659.390458940426</v>
      </c>
    </row>
    <row r="46" spans="1:46" x14ac:dyDescent="0.2">
      <c r="N46" t="s">
        <v>312</v>
      </c>
      <c r="O46" s="26" t="s">
        <v>172</v>
      </c>
      <c r="P46" s="24"/>
      <c r="Q46" s="28"/>
      <c r="R46" s="23">
        <f>X37</f>
        <v>14325417.760790775</v>
      </c>
      <c r="S46" s="28"/>
      <c r="T46" s="24"/>
      <c r="U46" s="29"/>
      <c r="V46" s="23">
        <f>R46</f>
        <v>14325417.760790775</v>
      </c>
      <c r="W46" s="24"/>
      <c r="X46" s="24"/>
      <c r="AA46" t="s">
        <v>11</v>
      </c>
      <c r="AB46">
        <f t="shared" si="12"/>
        <v>13.013086843767482</v>
      </c>
      <c r="AC46">
        <f t="shared" si="13"/>
        <v>16177.935494911952</v>
      </c>
      <c r="AE46" s="1"/>
      <c r="AF46" s="1">
        <v>802.34</v>
      </c>
      <c r="AG46">
        <f>AF46*AC46*-1</f>
        <v>-12980204.764987655</v>
      </c>
      <c r="AI46" s="21"/>
      <c r="AJ46" s="21"/>
      <c r="AK46" s="21">
        <v>4.3468410895755216</v>
      </c>
      <c r="AL46" s="21">
        <f t="shared" si="14"/>
        <v>212403.9057869442</v>
      </c>
    </row>
    <row r="47" spans="1:46" x14ac:dyDescent="0.2">
      <c r="O47" s="49" t="s">
        <v>119</v>
      </c>
      <c r="P47" s="24"/>
      <c r="Q47" s="28"/>
      <c r="R47" s="23">
        <f>Y37</f>
        <v>960551.61716142145</v>
      </c>
      <c r="S47" s="28"/>
      <c r="T47" s="24"/>
      <c r="U47" s="29"/>
      <c r="V47" s="23">
        <f t="shared" ref="V47:V50" si="15">R47</f>
        <v>960551.61716142145</v>
      </c>
      <c r="W47" s="24"/>
      <c r="X47" s="24"/>
      <c r="AA47" t="s">
        <v>12</v>
      </c>
      <c r="AB47">
        <f t="shared" si="12"/>
        <v>0</v>
      </c>
      <c r="AC47">
        <f t="shared" si="13"/>
        <v>0</v>
      </c>
      <c r="AE47" s="1"/>
      <c r="AF47" s="1">
        <v>1437.2</v>
      </c>
      <c r="AG47">
        <v>0</v>
      </c>
      <c r="AI47" s="21"/>
      <c r="AJ47" s="21"/>
      <c r="AK47" s="21">
        <v>4.6495500635458944</v>
      </c>
      <c r="AL47" s="21">
        <f t="shared" si="14"/>
        <v>75220.121008409245</v>
      </c>
    </row>
    <row r="48" spans="1:46" x14ac:dyDescent="0.2">
      <c r="N48" t="s">
        <v>307</v>
      </c>
      <c r="O48" s="26" t="s">
        <v>300</v>
      </c>
      <c r="P48" s="24"/>
      <c r="Q48" s="28"/>
      <c r="R48" s="23">
        <f>P37</f>
        <v>2735098.2684833249</v>
      </c>
      <c r="S48" s="28"/>
      <c r="T48" s="24"/>
      <c r="U48" s="29"/>
      <c r="V48" s="23">
        <f t="shared" si="15"/>
        <v>2735098.2684833249</v>
      </c>
      <c r="W48" s="24"/>
      <c r="X48" s="24"/>
      <c r="AA48" t="s">
        <v>13</v>
      </c>
      <c r="AB48">
        <f t="shared" si="12"/>
        <v>0.39835980133982091</v>
      </c>
      <c r="AC48">
        <f t="shared" si="13"/>
        <v>495.2429233136312</v>
      </c>
      <c r="AD48">
        <f>N144</f>
        <v>28.349044560881001</v>
      </c>
      <c r="AE48" s="1">
        <v>43.99</v>
      </c>
      <c r="AF48" s="1"/>
      <c r="AG48" s="22">
        <f>AC48*(AD48+AE48)</f>
        <v>35825.39989804574</v>
      </c>
      <c r="AI48" s="21"/>
      <c r="AJ48" s="21"/>
      <c r="AK48" s="21">
        <v>4.6495500635458944</v>
      </c>
      <c r="AL48" s="21">
        <f t="shared" si="14"/>
        <v>0</v>
      </c>
    </row>
    <row r="49" spans="12:38" x14ac:dyDescent="0.2">
      <c r="O49" s="26" t="s">
        <v>177</v>
      </c>
      <c r="P49" s="24"/>
      <c r="Q49" s="28"/>
      <c r="R49" s="23">
        <f>AD75</f>
        <v>4886049.5157026965</v>
      </c>
      <c r="S49" s="28"/>
      <c r="T49" s="24"/>
      <c r="U49" s="31"/>
      <c r="V49" s="23">
        <f>R49</f>
        <v>4886049.5157026965</v>
      </c>
      <c r="W49" s="24"/>
      <c r="X49" s="24"/>
      <c r="AA49" t="s">
        <v>14</v>
      </c>
      <c r="AB49">
        <f>AO34-AS34-AK68</f>
        <v>3080.1300630063006</v>
      </c>
      <c r="AC49">
        <f t="shared" si="13"/>
        <v>124320.50664950606</v>
      </c>
      <c r="AI49" s="21"/>
      <c r="AJ49" s="21"/>
      <c r="AK49" s="21">
        <v>3.2276215965587252</v>
      </c>
      <c r="AL49" s="21">
        <f t="shared" si="14"/>
        <v>1598.4567548299526</v>
      </c>
    </row>
    <row r="50" spans="12:38" x14ac:dyDescent="0.2">
      <c r="O50" s="49" t="s">
        <v>161</v>
      </c>
      <c r="P50" s="24"/>
      <c r="Q50" s="28"/>
      <c r="R50" s="23">
        <f>AD13</f>
        <v>2561470.9790971237</v>
      </c>
      <c r="S50" s="28"/>
      <c r="T50" s="24"/>
      <c r="U50" s="29"/>
      <c r="V50" s="23">
        <f t="shared" si="15"/>
        <v>2561470.9790971237</v>
      </c>
      <c r="W50" s="24"/>
      <c r="X50" s="24"/>
      <c r="AA50" t="s">
        <v>15</v>
      </c>
      <c r="AB50" s="1">
        <f>AO35</f>
        <v>20</v>
      </c>
      <c r="AI50" s="21"/>
      <c r="AJ50" s="21">
        <f>AJ45+AL50</f>
        <v>9.153410792350769E-5</v>
      </c>
      <c r="AK50" s="21" t="s">
        <v>116</v>
      </c>
      <c r="AL50" s="21">
        <f>SUM(AL43:AL49)</f>
        <v>989578.28588959808</v>
      </c>
    </row>
    <row r="51" spans="12:38" x14ac:dyDescent="0.2">
      <c r="N51" t="s">
        <v>302</v>
      </c>
      <c r="O51" s="24" t="s">
        <v>184</v>
      </c>
      <c r="P51" s="24"/>
      <c r="Q51" s="28"/>
      <c r="R51" s="23">
        <f>-SUM(Q42:R50)</f>
        <v>6862302.0947088767</v>
      </c>
      <c r="S51" s="30">
        <f>-R51</f>
        <v>-6862302.0947088767</v>
      </c>
      <c r="T51" s="24"/>
      <c r="U51" s="29"/>
      <c r="V51" s="24"/>
      <c r="W51" s="24"/>
      <c r="X51" s="24"/>
      <c r="AA51" t="s">
        <v>16</v>
      </c>
      <c r="AB51" s="1">
        <f>AO36</f>
        <v>1.6</v>
      </c>
    </row>
    <row r="52" spans="12:38" x14ac:dyDescent="0.2">
      <c r="N52" t="s">
        <v>309</v>
      </c>
      <c r="O52" s="24" t="s">
        <v>176</v>
      </c>
      <c r="P52" s="24"/>
      <c r="Q52" s="28"/>
      <c r="R52" s="24"/>
      <c r="S52" s="30">
        <f>AL35</f>
        <v>-3425401.1530349255</v>
      </c>
      <c r="T52" s="24"/>
      <c r="U52" s="31">
        <f>AL35</f>
        <v>-3425401.1530349255</v>
      </c>
      <c r="V52" s="24"/>
      <c r="W52" s="24"/>
      <c r="X52" s="24"/>
      <c r="AA52" t="s">
        <v>116</v>
      </c>
      <c r="AG52" s="23">
        <f>SUM(AG42,AG44:AG46)</f>
        <v>-25807959.931019023</v>
      </c>
    </row>
    <row r="53" spans="12:38" x14ac:dyDescent="0.2">
      <c r="N53" t="s">
        <v>308</v>
      </c>
      <c r="O53" s="26" t="s">
        <v>170</v>
      </c>
      <c r="P53" s="24"/>
      <c r="Q53" s="28"/>
      <c r="R53" s="24"/>
      <c r="S53" s="30">
        <f>AF34</f>
        <v>-7486330.0838365816</v>
      </c>
      <c r="T53" s="24"/>
      <c r="U53" s="31">
        <f>AF34</f>
        <v>-7486330.0838365816</v>
      </c>
      <c r="V53" s="24"/>
      <c r="W53" s="24"/>
      <c r="X53" s="24"/>
      <c r="AD53" s="4"/>
      <c r="AE53" s="4" t="s">
        <v>40</v>
      </c>
      <c r="AF53" s="4" t="s">
        <v>32</v>
      </c>
    </row>
    <row r="54" spans="12:38" x14ac:dyDescent="0.2">
      <c r="O54" s="24" t="s">
        <v>187</v>
      </c>
      <c r="P54" s="24"/>
      <c r="Q54" s="28"/>
      <c r="R54" s="24"/>
      <c r="S54" s="28"/>
      <c r="T54" s="24">
        <f>X15-AK17</f>
        <v>13102190</v>
      </c>
      <c r="U54" s="29"/>
      <c r="V54" s="24">
        <f>X15-AK17</f>
        <v>13102190</v>
      </c>
      <c r="W54" s="24"/>
      <c r="X54" s="24"/>
    </row>
    <row r="55" spans="12:38" x14ac:dyDescent="0.2">
      <c r="N55" t="s">
        <v>305</v>
      </c>
      <c r="O55" s="26" t="s">
        <v>174</v>
      </c>
      <c r="P55" s="24"/>
      <c r="Q55" s="28"/>
      <c r="R55" s="24"/>
      <c r="S55" s="28"/>
      <c r="T55" s="24"/>
      <c r="U55" s="29"/>
      <c r="V55" s="23">
        <f>H37</f>
        <v>1166519.7500935989</v>
      </c>
      <c r="W55" s="24"/>
      <c r="X55" s="24"/>
    </row>
    <row r="56" spans="12:38" x14ac:dyDescent="0.2">
      <c r="N56" t="s">
        <v>306</v>
      </c>
      <c r="O56" s="24" t="s">
        <v>175</v>
      </c>
      <c r="P56" s="24"/>
      <c r="Q56" s="28"/>
      <c r="R56" s="24"/>
      <c r="S56" s="28"/>
      <c r="T56" s="24"/>
      <c r="U56" s="31">
        <f>V55*-1</f>
        <v>-1166519.7500935989</v>
      </c>
      <c r="V56" s="24"/>
      <c r="W56" s="24"/>
      <c r="X56" s="39">
        <f>X57/U57</f>
        <v>9.5377439397501471E-2</v>
      </c>
    </row>
    <row r="57" spans="12:38" x14ac:dyDescent="0.2">
      <c r="O57" s="24" t="s">
        <v>116</v>
      </c>
      <c r="P57" s="24"/>
      <c r="Q57" s="28">
        <f t="shared" ref="Q57:V57" si="16">SUM(Q42:Q56)</f>
        <v>-36904436.754416741</v>
      </c>
      <c r="R57" s="23">
        <f t="shared" si="16"/>
        <v>36904436.754416741</v>
      </c>
      <c r="S57" s="28">
        <f t="shared" si="16"/>
        <v>-17774033.331580386</v>
      </c>
      <c r="T57" s="23">
        <f t="shared" si="16"/>
        <v>13102190</v>
      </c>
      <c r="U57" s="29">
        <f t="shared" si="16"/>
        <v>-48982687.741381846</v>
      </c>
      <c r="V57" s="23">
        <f t="shared" si="16"/>
        <v>44310844.409801461</v>
      </c>
      <c r="W57" s="24" t="s">
        <v>183</v>
      </c>
      <c r="X57" s="23">
        <f>SUM(U57:V57)</f>
        <v>-4671843.3315803856</v>
      </c>
    </row>
    <row r="58" spans="12:38" x14ac:dyDescent="0.2">
      <c r="R58" t="s">
        <v>313</v>
      </c>
    </row>
    <row r="60" spans="12:38" x14ac:dyDescent="0.2">
      <c r="AJ60" t="s">
        <v>0</v>
      </c>
      <c r="AK60" t="s">
        <v>143</v>
      </c>
    </row>
    <row r="61" spans="12:38" x14ac:dyDescent="0.2">
      <c r="AJ61" t="s">
        <v>7</v>
      </c>
      <c r="AK61" s="1" cm="1">
        <f t="array" ref="AK61:AK67">AS27:AS33</f>
        <v>99.99</v>
      </c>
      <c r="AL61">
        <f t="shared" ref="AL61:AL67" si="17">($A$34)*($AK$68*AK61/100*1000)/($E$24*$B$34)</f>
        <v>4010.3779022365438</v>
      </c>
    </row>
    <row r="62" spans="12:38" x14ac:dyDescent="0.2">
      <c r="AJ62" t="s">
        <v>8</v>
      </c>
      <c r="AK62" s="1">
        <v>0.01</v>
      </c>
      <c r="AL62">
        <f t="shared" si="17"/>
        <v>0.40107789801345584</v>
      </c>
    </row>
    <row r="63" spans="12:38" x14ac:dyDescent="0.2">
      <c r="AJ63" t="s">
        <v>9</v>
      </c>
      <c r="AK63" s="1">
        <v>0</v>
      </c>
      <c r="AL63">
        <f t="shared" si="17"/>
        <v>0</v>
      </c>
    </row>
    <row r="64" spans="12:38" x14ac:dyDescent="0.2">
      <c r="L64" t="s">
        <v>0</v>
      </c>
      <c r="M64" t="s">
        <v>128</v>
      </c>
      <c r="N64" t="s">
        <v>132</v>
      </c>
      <c r="O64" t="s">
        <v>136</v>
      </c>
      <c r="P64" t="s">
        <v>140</v>
      </c>
      <c r="AJ64" t="s">
        <v>10</v>
      </c>
      <c r="AK64" s="1">
        <v>0</v>
      </c>
      <c r="AL64">
        <f t="shared" si="17"/>
        <v>0</v>
      </c>
    </row>
    <row r="65" spans="4:38" x14ac:dyDescent="0.2">
      <c r="L65" t="s">
        <v>140</v>
      </c>
      <c r="M65" s="5">
        <f>SUM(V37:Y37,AG52)*-1</f>
        <v>5948444.0345943049</v>
      </c>
      <c r="AJ65" t="s">
        <v>11</v>
      </c>
      <c r="AK65" s="1">
        <v>0</v>
      </c>
      <c r="AL65">
        <f t="shared" si="17"/>
        <v>0</v>
      </c>
    </row>
    <row r="66" spans="4:38" x14ac:dyDescent="0.2">
      <c r="L66" t="s">
        <v>7</v>
      </c>
      <c r="M66" s="1" cm="1">
        <f t="array" ref="M66:M72">D27:D33</f>
        <v>0</v>
      </c>
      <c r="N66">
        <f t="shared" ref="N66:N72" si="18">M66/100*$N$73</f>
        <v>0</v>
      </c>
      <c r="AJ66" t="s">
        <v>12</v>
      </c>
      <c r="AK66" s="1">
        <v>0</v>
      </c>
      <c r="AL66">
        <f t="shared" si="17"/>
        <v>0</v>
      </c>
    </row>
    <row r="67" spans="4:38" x14ac:dyDescent="0.2">
      <c r="L67" t="s">
        <v>8</v>
      </c>
      <c r="M67" s="1">
        <v>1</v>
      </c>
      <c r="N67">
        <f t="shared" si="18"/>
        <v>76.433676596966549</v>
      </c>
      <c r="AJ67" t="s">
        <v>13</v>
      </c>
      <c r="AK67" s="1">
        <v>0</v>
      </c>
      <c r="AL67">
        <f t="shared" si="17"/>
        <v>0</v>
      </c>
    </row>
    <row r="68" spans="4:38" x14ac:dyDescent="0.2">
      <c r="L68" t="s">
        <v>9</v>
      </c>
      <c r="M68" s="1">
        <v>0</v>
      </c>
      <c r="N68">
        <f t="shared" si="18"/>
        <v>0</v>
      </c>
      <c r="AJ68" t="s">
        <v>14</v>
      </c>
      <c r="AK68">
        <f>K27/100*K34/(AK61/100)</f>
        <v>99.369936993699383</v>
      </c>
      <c r="AL68">
        <f>($A$34)*($AK$68*1000)/($E$24*$B$34)</f>
        <v>4010.7789801345584</v>
      </c>
    </row>
    <row r="69" spans="4:38" x14ac:dyDescent="0.2">
      <c r="L69" t="s">
        <v>10</v>
      </c>
      <c r="M69" s="1">
        <v>0.5</v>
      </c>
      <c r="N69">
        <f t="shared" si="18"/>
        <v>38.216838298483275</v>
      </c>
      <c r="Z69" t="s">
        <v>0</v>
      </c>
      <c r="AA69" t="s">
        <v>158</v>
      </c>
      <c r="AB69" t="s">
        <v>132</v>
      </c>
      <c r="AC69" t="s">
        <v>149</v>
      </c>
      <c r="AJ69" t="s">
        <v>15</v>
      </c>
      <c r="AK69">
        <f>AS35</f>
        <v>20</v>
      </c>
    </row>
    <row r="70" spans="4:38" x14ac:dyDescent="0.2">
      <c r="L70" t="s">
        <v>11</v>
      </c>
      <c r="M70" s="1">
        <v>95</v>
      </c>
      <c r="N70">
        <f t="shared" si="18"/>
        <v>7261.1992767118209</v>
      </c>
      <c r="O70" s="1" cm="1">
        <f t="array" ref="O70:O71">AF46:AF47</f>
        <v>802.34</v>
      </c>
      <c r="P70" s="5">
        <f>O70*N70*-1</f>
        <v>-5825950.6276769629</v>
      </c>
      <c r="Z70" t="s">
        <v>8</v>
      </c>
      <c r="AA70">
        <v>79</v>
      </c>
      <c r="AB70">
        <f>AB71*AA70/AA71</f>
        <v>288928.77512840496</v>
      </c>
      <c r="AC70" cm="1">
        <f t="array" ref="AC70:AC71">N139:N140</f>
        <v>12.200531800964121</v>
      </c>
      <c r="AD70" s="5">
        <f>AB70*AC70</f>
        <v>3525084.7091677161</v>
      </c>
      <c r="AJ70" t="s">
        <v>16</v>
      </c>
      <c r="AK70">
        <f>K36</f>
        <v>1.9</v>
      </c>
    </row>
    <row r="71" spans="4:38" x14ac:dyDescent="0.2">
      <c r="L71" t="s">
        <v>12</v>
      </c>
      <c r="M71" s="1">
        <v>3.5</v>
      </c>
      <c r="N71">
        <f t="shared" si="18"/>
        <v>267.51786808938294</v>
      </c>
      <c r="O71" s="1">
        <v>1437.2</v>
      </c>
      <c r="P71" s="5">
        <f>O71*N71*-1</f>
        <v>-384476.68001806119</v>
      </c>
      <c r="Z71" t="s">
        <v>129</v>
      </c>
      <c r="AA71">
        <v>21</v>
      </c>
      <c r="AB71">
        <f>N70*2+N71*3.5+AC42*0.5+AC44*0.5+AC46*2</f>
        <v>76803.851616411441</v>
      </c>
      <c r="AC71">
        <v>17.720007237816304</v>
      </c>
      <c r="AD71" s="5">
        <f>AB71*AC71</f>
        <v>1360964.8065349802</v>
      </c>
    </row>
    <row r="72" spans="4:38" x14ac:dyDescent="0.2">
      <c r="L72" t="s">
        <v>13</v>
      </c>
      <c r="M72" s="1">
        <v>0</v>
      </c>
      <c r="N72">
        <f t="shared" si="18"/>
        <v>0</v>
      </c>
      <c r="W72">
        <v>8.3140000000000006E-2</v>
      </c>
      <c r="X72">
        <v>1</v>
      </c>
      <c r="Y72">
        <v>298</v>
      </c>
      <c r="Z72" t="s">
        <v>130</v>
      </c>
      <c r="AA72" s="9">
        <f>SUM(AB70:AB71)*W72*Y72/X72/1000</f>
        <v>9061.289155094084</v>
      </c>
      <c r="AD72" s="5"/>
    </row>
    <row r="73" spans="4:38" x14ac:dyDescent="0.2">
      <c r="I73">
        <v>8.3140000000000006E-2</v>
      </c>
      <c r="J73">
        <v>1</v>
      </c>
      <c r="K73">
        <v>298</v>
      </c>
      <c r="L73" t="s">
        <v>14</v>
      </c>
      <c r="M73" s="9">
        <f>N73*I73*K73/J73/1000</f>
        <v>189.36993699369961</v>
      </c>
      <c r="N73">
        <f>E34+AL68-L34</f>
        <v>7643.3676596966543</v>
      </c>
      <c r="Z73" t="s">
        <v>15</v>
      </c>
      <c r="AA73" s="17">
        <f>M74</f>
        <v>20</v>
      </c>
      <c r="AD73" s="5"/>
    </row>
    <row r="74" spans="4:38" x14ac:dyDescent="0.2">
      <c r="L74" t="s">
        <v>15</v>
      </c>
      <c r="M74" s="1">
        <f>D35</f>
        <v>20</v>
      </c>
      <c r="N74" s="3"/>
      <c r="Z74" t="s">
        <v>16</v>
      </c>
      <c r="AA74" s="17">
        <f>M75</f>
        <v>2</v>
      </c>
      <c r="AD74" s="5"/>
    </row>
    <row r="75" spans="4:38" x14ac:dyDescent="0.2">
      <c r="D75" s="14"/>
      <c r="L75" t="s">
        <v>16</v>
      </c>
      <c r="M75" s="1">
        <f>D36</f>
        <v>2</v>
      </c>
      <c r="Z75" t="s">
        <v>116</v>
      </c>
      <c r="AD75" s="23">
        <f>SUM(AD70:AD71)</f>
        <v>4886049.5157026965</v>
      </c>
    </row>
    <row r="76" spans="4:38" x14ac:dyDescent="0.2">
      <c r="L76" t="s">
        <v>116</v>
      </c>
      <c r="P76" s="23">
        <f>SUM(P70:P71)</f>
        <v>-6210427.3076950237</v>
      </c>
      <c r="AD76" s="5"/>
    </row>
    <row r="86" spans="6:27" x14ac:dyDescent="0.2">
      <c r="P86" s="15"/>
    </row>
    <row r="87" spans="6:27" x14ac:dyDescent="0.2">
      <c r="F87" s="14" t="s">
        <v>146</v>
      </c>
      <c r="P87" s="16" t="s">
        <v>102</v>
      </c>
    </row>
    <row r="88" spans="6:27" x14ac:dyDescent="0.2">
      <c r="F88" s="2" t="s">
        <v>118</v>
      </c>
      <c r="P88" s="15"/>
      <c r="S88" t="s">
        <v>18</v>
      </c>
      <c r="T88" t="s">
        <v>59</v>
      </c>
      <c r="U88" t="s">
        <v>56</v>
      </c>
      <c r="V88" t="s">
        <v>44</v>
      </c>
      <c r="W88" t="s">
        <v>60</v>
      </c>
      <c r="X88" t="s">
        <v>54</v>
      </c>
      <c r="Y88" t="s">
        <v>49</v>
      </c>
      <c r="AA88" t="s">
        <v>100</v>
      </c>
    </row>
    <row r="89" spans="6:27" x14ac:dyDescent="0.2">
      <c r="G89" t="s">
        <v>47</v>
      </c>
      <c r="H89" t="s">
        <v>48</v>
      </c>
      <c r="I89" t="s">
        <v>49</v>
      </c>
      <c r="J89" t="s">
        <v>33</v>
      </c>
      <c r="K89" t="s">
        <v>50</v>
      </c>
      <c r="L89" t="s">
        <v>109</v>
      </c>
      <c r="M89" t="s">
        <v>108</v>
      </c>
      <c r="N89" t="s">
        <v>144</v>
      </c>
      <c r="P89" s="15" t="s">
        <v>77</v>
      </c>
      <c r="R89" t="s">
        <v>61</v>
      </c>
      <c r="S89">
        <v>3</v>
      </c>
      <c r="T89">
        <v>1</v>
      </c>
      <c r="V89">
        <v>-1</v>
      </c>
      <c r="X89">
        <v>-1</v>
      </c>
    </row>
    <row r="90" spans="6:27" x14ac:dyDescent="0.2">
      <c r="F90" t="s">
        <v>173</v>
      </c>
      <c r="P90" s="15" t="s">
        <v>66</v>
      </c>
      <c r="R90" t="s">
        <v>62</v>
      </c>
      <c r="S90">
        <v>1</v>
      </c>
      <c r="T90">
        <v>-1</v>
      </c>
      <c r="U90">
        <v>1</v>
      </c>
      <c r="X90">
        <v>-1</v>
      </c>
      <c r="Z90" s="10" t="s">
        <v>71</v>
      </c>
      <c r="AA90" t="s">
        <v>101</v>
      </c>
    </row>
    <row r="91" spans="6:27" x14ac:dyDescent="0.2">
      <c r="F91" t="s">
        <v>18</v>
      </c>
      <c r="G91" s="1">
        <v>33.066178000000001</v>
      </c>
      <c r="H91" s="1">
        <v>-11.363417</v>
      </c>
      <c r="I91" s="1">
        <v>11.432816000000001</v>
      </c>
      <c r="J91" s="1">
        <v>-2.7728739999999998</v>
      </c>
      <c r="K91" s="1">
        <v>-0.158558</v>
      </c>
      <c r="L91" s="1">
        <f>$K$35+273</f>
        <v>663</v>
      </c>
      <c r="M91" s="1">
        <f>$D$35+273</f>
        <v>293</v>
      </c>
      <c r="N91">
        <f>(G91*(L91-M91)+H91/2000*(L91^2-M91^2)+I91/(3*10^6)*(L91^3-M91^3)+J91/(4*10^9)*(L91^4-M91^4)-(10^6*K91)*(1/M91-1/L91))/1000</f>
        <v>11.412696539760386</v>
      </c>
      <c r="P91" s="15" t="s">
        <v>78</v>
      </c>
      <c r="S91">
        <v>4</v>
      </c>
      <c r="U91">
        <v>1</v>
      </c>
      <c r="V91">
        <v>-1</v>
      </c>
      <c r="X91">
        <v>-2</v>
      </c>
      <c r="Z91" s="10" t="s">
        <v>71</v>
      </c>
    </row>
    <row r="92" spans="6:27" x14ac:dyDescent="0.2">
      <c r="F92" t="s">
        <v>55</v>
      </c>
      <c r="G92" s="1">
        <v>19.50583</v>
      </c>
      <c r="H92" s="1">
        <v>19.887049999999999</v>
      </c>
      <c r="I92" s="1">
        <v>-8.598535</v>
      </c>
      <c r="J92" s="1">
        <v>1.3697839999999999</v>
      </c>
      <c r="K92" s="1">
        <v>0.52760099999999999</v>
      </c>
      <c r="L92" s="1">
        <f t="shared" ref="L92:L97" si="19">$K$35+273</f>
        <v>663</v>
      </c>
      <c r="M92" s="1">
        <f t="shared" ref="M92:M97" si="20">$D$35+273</f>
        <v>293</v>
      </c>
      <c r="N92">
        <f>(G92*(L92-M92)+H92/2000*(L92^2-M92^2)+I92/(3*10^6)*(L92^3-M92^3)+J92/(4*10^9)*(L92^4-M92^4)-(10^6*K92)*(1/M92-1/L92))/1000</f>
        <v>9.0299095475672946</v>
      </c>
      <c r="P92" s="15" t="s">
        <v>79</v>
      </c>
      <c r="S92" s="10">
        <v>2</v>
      </c>
      <c r="T92" s="10">
        <v>2</v>
      </c>
      <c r="U92" s="10">
        <v>-1</v>
      </c>
      <c r="V92" s="10">
        <v>-1</v>
      </c>
      <c r="W92" s="10"/>
      <c r="X92" s="10"/>
      <c r="Y92" s="10"/>
    </row>
    <row r="93" spans="6:27" x14ac:dyDescent="0.2">
      <c r="F93" t="s">
        <v>59</v>
      </c>
      <c r="L93" s="1">
        <f t="shared" si="19"/>
        <v>663</v>
      </c>
      <c r="M93" s="1">
        <f t="shared" si="20"/>
        <v>293</v>
      </c>
      <c r="P93" s="15" t="s">
        <v>80</v>
      </c>
      <c r="Q93" t="s">
        <v>84</v>
      </c>
      <c r="S93" s="13">
        <v>-1</v>
      </c>
      <c r="T93" s="13">
        <v>-1</v>
      </c>
      <c r="U93" s="13"/>
      <c r="V93" s="13"/>
      <c r="W93" s="13"/>
      <c r="X93" s="13">
        <v>1</v>
      </c>
      <c r="Y93" s="13">
        <v>1</v>
      </c>
      <c r="Z93" s="11" t="s">
        <v>71</v>
      </c>
    </row>
    <row r="94" spans="6:27" x14ac:dyDescent="0.2">
      <c r="F94" t="s">
        <v>56</v>
      </c>
      <c r="G94" s="1">
        <v>24.997350000000001</v>
      </c>
      <c r="H94" s="1">
        <v>55.186959999999999</v>
      </c>
      <c r="I94" s="1">
        <v>-33.691369999999999</v>
      </c>
      <c r="J94" s="1">
        <v>7.9483870000000003</v>
      </c>
      <c r="K94" s="1">
        <v>-0.13663800000000001</v>
      </c>
      <c r="L94" s="1">
        <f t="shared" si="19"/>
        <v>663</v>
      </c>
      <c r="M94" s="1">
        <f t="shared" si="20"/>
        <v>293</v>
      </c>
      <c r="N94">
        <f>(G94*(L94-M94)+H94/2000*(L94^2-M94^2)+I94/(3*10^6)*(L94^3-M94^3)+J94/(4*10^9)*(L94^4-M94^4)-(10^6*K94)*(1/M94-1/L94))/1000</f>
        <v>16.648488170542745</v>
      </c>
      <c r="P94" s="15" t="s">
        <v>81</v>
      </c>
      <c r="Q94" t="s">
        <v>84</v>
      </c>
      <c r="T94">
        <v>-2</v>
      </c>
      <c r="U94">
        <v>1</v>
      </c>
      <c r="Y94">
        <v>1</v>
      </c>
      <c r="Z94" s="13" t="s">
        <v>71</v>
      </c>
    </row>
    <row r="95" spans="6:27" x14ac:dyDescent="0.2">
      <c r="F95" t="s">
        <v>44</v>
      </c>
      <c r="G95" s="1">
        <v>-0.70302900000000002</v>
      </c>
      <c r="H95" s="1">
        <v>108.4773</v>
      </c>
      <c r="I95" s="1">
        <v>-42.521569999999997</v>
      </c>
      <c r="J95" s="1">
        <v>5.8627880000000001</v>
      </c>
      <c r="K95" s="1">
        <v>0.67856499999999997</v>
      </c>
      <c r="L95" s="1">
        <f t="shared" si="19"/>
        <v>663</v>
      </c>
      <c r="M95" s="1">
        <f t="shared" si="20"/>
        <v>293</v>
      </c>
      <c r="N95">
        <f>(G95*(L95-M95)+H95/2000*(L95^2-M95^2)+I95/(3*10^6)*(L95^3-M95^3)+J95/(4*10^9)*(L95^4-M95^4)-(10^6*K95)*(1/M95-1/L95))/1000</f>
        <v>14.130909209883855</v>
      </c>
      <c r="P95" s="15" t="s">
        <v>82</v>
      </c>
      <c r="Q95" t="s">
        <v>84</v>
      </c>
      <c r="R95" t="s">
        <v>63</v>
      </c>
      <c r="S95" s="11">
        <v>2</v>
      </c>
      <c r="T95" s="11"/>
      <c r="U95" s="11"/>
      <c r="V95" s="11">
        <v>-1</v>
      </c>
      <c r="W95" s="11"/>
      <c r="X95" s="11"/>
      <c r="Y95" s="11">
        <v>1</v>
      </c>
    </row>
    <row r="96" spans="6:27" x14ac:dyDescent="0.2">
      <c r="F96" t="s">
        <v>148</v>
      </c>
      <c r="G96" s="1"/>
      <c r="H96" s="1"/>
      <c r="I96" s="1"/>
      <c r="J96" s="1"/>
      <c r="K96" s="1"/>
      <c r="L96" s="1">
        <f t="shared" si="19"/>
        <v>663</v>
      </c>
      <c r="M96" s="1">
        <f t="shared" si="20"/>
        <v>293</v>
      </c>
      <c r="N96" s="2">
        <f>N95</f>
        <v>14.130909209883855</v>
      </c>
      <c r="O96" t="s">
        <v>58</v>
      </c>
      <c r="P96" s="15" t="s">
        <v>83</v>
      </c>
      <c r="R96" t="s">
        <v>64</v>
      </c>
      <c r="S96">
        <v>5</v>
      </c>
      <c r="T96">
        <v>2</v>
      </c>
      <c r="W96">
        <v>-1</v>
      </c>
      <c r="X96">
        <v>-2</v>
      </c>
    </row>
    <row r="97" spans="6:30" x14ac:dyDescent="0.2">
      <c r="F97" t="s">
        <v>54</v>
      </c>
      <c r="G97" s="1">
        <v>30.091999999999999</v>
      </c>
      <c r="H97" s="1">
        <v>6.8325139999999998</v>
      </c>
      <c r="I97" s="1">
        <v>6.7934349999999997</v>
      </c>
      <c r="J97" s="1">
        <v>-2.5344799999999998</v>
      </c>
      <c r="K97" s="1">
        <v>8.2139000000000004E-2</v>
      </c>
      <c r="L97" s="1">
        <f t="shared" si="19"/>
        <v>663</v>
      </c>
      <c r="M97" s="1">
        <f t="shared" si="20"/>
        <v>293</v>
      </c>
      <c r="N97">
        <f>(G97*(L97-M97)+H97/2000*(L97^2-M97^2)+I97/(3*10^6)*(L97^3-M97^3)+J97/(4*10^9)*(L97^4-M97^4)-(10^6*K97)*(1/M97-1/L97))/1000</f>
        <v>12.671218017974889</v>
      </c>
      <c r="P97" s="15"/>
    </row>
    <row r="98" spans="6:30" x14ac:dyDescent="0.2">
      <c r="F98" t="s">
        <v>154</v>
      </c>
      <c r="P98" s="15" t="s">
        <v>67</v>
      </c>
      <c r="Q98" t="s">
        <v>69</v>
      </c>
      <c r="S98" s="10">
        <f t="shared" ref="S98:Y98" si="21">S89-S90</f>
        <v>2</v>
      </c>
      <c r="T98" s="10">
        <f t="shared" si="21"/>
        <v>2</v>
      </c>
      <c r="U98" s="10">
        <f t="shared" si="21"/>
        <v>-1</v>
      </c>
      <c r="V98" s="10">
        <f t="shared" si="21"/>
        <v>-1</v>
      </c>
      <c r="W98" s="10">
        <f t="shared" si="21"/>
        <v>0</v>
      </c>
      <c r="X98" s="10">
        <f t="shared" si="21"/>
        <v>0</v>
      </c>
      <c r="Y98" s="10">
        <f t="shared" si="21"/>
        <v>0</v>
      </c>
    </row>
    <row r="99" spans="6:30" x14ac:dyDescent="0.2">
      <c r="F99" t="s">
        <v>18</v>
      </c>
      <c r="G99" s="1">
        <v>33.066178000000001</v>
      </c>
      <c r="H99" s="1">
        <v>-11.363417</v>
      </c>
      <c r="I99" s="1">
        <v>11.432816000000001</v>
      </c>
      <c r="J99" s="1">
        <v>-2.7728739999999998</v>
      </c>
      <c r="K99" s="1">
        <v>-0.158558</v>
      </c>
      <c r="L99" s="1">
        <f>$S$35+273</f>
        <v>793</v>
      </c>
      <c r="M99" s="1">
        <f t="shared" ref="M99:M104" si="22">$K$35+273</f>
        <v>663</v>
      </c>
      <c r="N99">
        <f>(G99*(L99-M99)+H99/2000*(L99^2-M99^2)+I99/(3*10^6)*(L99^3-M99^3)+J99/(4*10^9)*(L99^4-M99^4)-(10^6*K99)*(1/M99-1/L99))/1000</f>
        <v>3.9119753691091494</v>
      </c>
      <c r="P99" s="15" t="s">
        <v>68</v>
      </c>
      <c r="Q99" t="s">
        <v>70</v>
      </c>
      <c r="S99" s="10">
        <f t="shared" ref="S99:Y99" si="23">2*S89-S91</f>
        <v>2</v>
      </c>
      <c r="T99" s="10">
        <f t="shared" si="23"/>
        <v>2</v>
      </c>
      <c r="U99" s="10">
        <f t="shared" si="23"/>
        <v>-1</v>
      </c>
      <c r="V99" s="10">
        <f t="shared" si="23"/>
        <v>-1</v>
      </c>
      <c r="W99" s="10">
        <f t="shared" si="23"/>
        <v>0</v>
      </c>
      <c r="X99" s="10">
        <f t="shared" si="23"/>
        <v>0</v>
      </c>
      <c r="Y99" s="10">
        <f t="shared" si="23"/>
        <v>0</v>
      </c>
    </row>
    <row r="100" spans="6:30" x14ac:dyDescent="0.2">
      <c r="F100" t="s">
        <v>55</v>
      </c>
      <c r="G100" s="1">
        <v>19.50583</v>
      </c>
      <c r="H100" s="1">
        <v>19.887049999999999</v>
      </c>
      <c r="I100" s="1">
        <v>-8.598535</v>
      </c>
      <c r="J100" s="1">
        <v>1.3697839999999999</v>
      </c>
      <c r="K100" s="1">
        <v>0.52760099999999999</v>
      </c>
      <c r="L100" s="1">
        <f t="shared" ref="L100:L105" si="24">$S$35+273</f>
        <v>793</v>
      </c>
      <c r="M100" s="1">
        <f t="shared" si="22"/>
        <v>663</v>
      </c>
      <c r="N100">
        <f>(G100*(L100-M100)+H100/2000*(L100^2-M100^2)+I100/(3*10^6)*(L100^3-M100^3)+J100/(4*10^9)*(L100^4-M100^4)-(10^6*K100)*(1/M100-1/L100))/1000</f>
        <v>3.7626703402191102</v>
      </c>
      <c r="P100" s="15" t="s">
        <v>85</v>
      </c>
      <c r="Q100" t="s">
        <v>86</v>
      </c>
      <c r="S100" s="11">
        <f t="shared" ref="S100:Y100" si="25">S89+S93</f>
        <v>2</v>
      </c>
      <c r="T100" s="11">
        <f t="shared" si="25"/>
        <v>0</v>
      </c>
      <c r="U100" s="11">
        <f t="shared" si="25"/>
        <v>0</v>
      </c>
      <c r="V100" s="11">
        <f t="shared" si="25"/>
        <v>-1</v>
      </c>
      <c r="W100" s="11">
        <f t="shared" si="25"/>
        <v>0</v>
      </c>
      <c r="X100" s="11">
        <f t="shared" si="25"/>
        <v>0</v>
      </c>
      <c r="Y100" s="11">
        <f t="shared" si="25"/>
        <v>1</v>
      </c>
    </row>
    <row r="101" spans="6:30" x14ac:dyDescent="0.2">
      <c r="F101" t="s">
        <v>59</v>
      </c>
      <c r="L101" s="1">
        <f t="shared" si="24"/>
        <v>793</v>
      </c>
      <c r="M101" s="1">
        <f t="shared" si="22"/>
        <v>663</v>
      </c>
      <c r="P101" s="15" t="s">
        <v>87</v>
      </c>
      <c r="Q101" s="12" t="s">
        <v>88</v>
      </c>
      <c r="S101" s="13">
        <f t="shared" ref="S101:Y101" si="26">S94-S90</f>
        <v>-1</v>
      </c>
      <c r="T101" s="13">
        <f t="shared" si="26"/>
        <v>-1</v>
      </c>
      <c r="U101" s="13">
        <f t="shared" si="26"/>
        <v>0</v>
      </c>
      <c r="V101" s="13">
        <f t="shared" si="26"/>
        <v>0</v>
      </c>
      <c r="W101" s="13">
        <f t="shared" si="26"/>
        <v>0</v>
      </c>
      <c r="X101" s="13">
        <f t="shared" si="26"/>
        <v>1</v>
      </c>
      <c r="Y101" s="13">
        <f t="shared" si="26"/>
        <v>1</v>
      </c>
    </row>
    <row r="102" spans="6:30" x14ac:dyDescent="0.2">
      <c r="F102" t="s">
        <v>56</v>
      </c>
      <c r="G102" s="1">
        <v>24.997350000000001</v>
      </c>
      <c r="H102" s="1">
        <v>55.186959999999999</v>
      </c>
      <c r="I102" s="1">
        <v>-33.691369999999999</v>
      </c>
      <c r="J102" s="1">
        <v>7.9483870000000003</v>
      </c>
      <c r="K102" s="1">
        <v>-0.13663800000000001</v>
      </c>
      <c r="L102" s="1">
        <f t="shared" si="24"/>
        <v>793</v>
      </c>
      <c r="M102" s="1">
        <f t="shared" si="22"/>
        <v>663</v>
      </c>
      <c r="N102">
        <f>(G102*(L102-M102)+H102/2000*(L102^2-M102^2)+I102/(3*10^6)*(L102^3-M102^3)+J102/(4*10^9)*(L102^4-M102^4)-(10^6*K102)*(1/M102-1/L102))/1000</f>
        <v>6.5807519704037611</v>
      </c>
      <c r="P102" s="15"/>
    </row>
    <row r="103" spans="6:30" x14ac:dyDescent="0.2">
      <c r="F103" t="s">
        <v>44</v>
      </c>
      <c r="G103" s="1">
        <v>-0.70302900000000002</v>
      </c>
      <c r="H103" s="1">
        <v>108.4773</v>
      </c>
      <c r="I103" s="1">
        <v>-42.521569999999997</v>
      </c>
      <c r="J103" s="1">
        <v>5.8627880000000001</v>
      </c>
      <c r="K103" s="1">
        <v>0.67856499999999997</v>
      </c>
      <c r="L103" s="1">
        <f t="shared" si="24"/>
        <v>793</v>
      </c>
      <c r="M103" s="1">
        <f t="shared" si="22"/>
        <v>663</v>
      </c>
      <c r="N103">
        <f>(G103*(L103-M103)+H103/2000*(L103^2-M103^2)+I103/(3*10^6)*(L103^3-M103^3)+J103/(4*10^9)*(L103^4-M103^4)-(10^6*K103)*(1/M103-1/L103))/1000</f>
        <v>7.3660902678144407</v>
      </c>
      <c r="P103" s="15"/>
      <c r="AB103" s="15" t="s">
        <v>96</v>
      </c>
    </row>
    <row r="104" spans="6:30" x14ac:dyDescent="0.2">
      <c r="F104" t="s">
        <v>148</v>
      </c>
      <c r="G104" s="1"/>
      <c r="H104" s="1"/>
      <c r="I104" s="1"/>
      <c r="J104" s="1"/>
      <c r="K104" s="1"/>
      <c r="L104" s="1">
        <f t="shared" si="24"/>
        <v>793</v>
      </c>
      <c r="M104" s="1">
        <f t="shared" si="22"/>
        <v>663</v>
      </c>
      <c r="N104" s="2">
        <f>N103</f>
        <v>7.3660902678144407</v>
      </c>
      <c r="P104" s="15"/>
      <c r="S104" t="s">
        <v>61</v>
      </c>
      <c r="T104" t="s">
        <v>62</v>
      </c>
      <c r="U104" t="s">
        <v>63</v>
      </c>
      <c r="V104" t="s">
        <v>64</v>
      </c>
      <c r="AB104" s="15" t="s">
        <v>97</v>
      </c>
      <c r="AC104" t="s">
        <v>98</v>
      </c>
      <c r="AD104" t="s">
        <v>99</v>
      </c>
    </row>
    <row r="105" spans="6:30" x14ac:dyDescent="0.2">
      <c r="F105" t="s">
        <v>186</v>
      </c>
      <c r="G105" s="1">
        <v>30.091999999999999</v>
      </c>
      <c r="H105" s="1">
        <v>6.8325139999999998</v>
      </c>
      <c r="I105" s="1">
        <v>6.7934349999999997</v>
      </c>
      <c r="J105" s="1">
        <v>-2.5344799999999998</v>
      </c>
      <c r="K105" s="1">
        <v>8.2139000000000004E-2</v>
      </c>
      <c r="L105" s="1">
        <f t="shared" si="24"/>
        <v>793</v>
      </c>
      <c r="M105" s="1">
        <f>$Q$17+273</f>
        <v>509</v>
      </c>
      <c r="N105">
        <f>(G105*(L105-M105)+H105/2000*(L105^2-M105^2)+I105/(3*10^6)*(L105^3-M105^3)+J105/(4*10^9)*(L105^4-M105^4)-(10^6*K105)*(1/M105-1/L105))/1000</f>
        <v>10.374144100684674</v>
      </c>
      <c r="P105" s="15"/>
      <c r="R105" t="s">
        <v>65</v>
      </c>
      <c r="S105">
        <f>S89</f>
        <v>3</v>
      </c>
      <c r="T105">
        <f>S90</f>
        <v>1</v>
      </c>
      <c r="U105">
        <f>S95</f>
        <v>2</v>
      </c>
      <c r="V105">
        <f>S96</f>
        <v>5</v>
      </c>
      <c r="X105" s="12"/>
      <c r="Z105" s="5"/>
      <c r="AB105" s="15">
        <f>AB27/100*AC34-S27/100*T34</f>
        <v>215726.92942929608</v>
      </c>
      <c r="AC105">
        <f>S105*Z$108+T105*Z$107+U105*Z$111+V105*Z$109</f>
        <v>213869.46575114666</v>
      </c>
      <c r="AD105" s="7">
        <f>(AC105-AB105)/AB105</f>
        <v>-8.6102540979159387E-3</v>
      </c>
    </row>
    <row r="106" spans="6:30" x14ac:dyDescent="0.2">
      <c r="F106" t="s">
        <v>155</v>
      </c>
      <c r="P106" s="15"/>
      <c r="R106" t="s">
        <v>72</v>
      </c>
      <c r="S106">
        <f>T89</f>
        <v>1</v>
      </c>
      <c r="T106">
        <f>T90</f>
        <v>-1</v>
      </c>
      <c r="V106">
        <f>T96</f>
        <v>2</v>
      </c>
      <c r="Z106" s="5"/>
      <c r="AB106" s="15">
        <f>AB29/100*AC34-S29/100*T34</f>
        <v>45130.878133914972</v>
      </c>
      <c r="AC106">
        <f>S106*Z$108+T106*Z$107+U106*Z$111+V106*Z$109</f>
        <v>43957.148369452036</v>
      </c>
      <c r="AD106" s="7">
        <f>(AC106-AB106)/AB106</f>
        <v>-2.600724410857189E-2</v>
      </c>
    </row>
    <row r="107" spans="6:30" x14ac:dyDescent="0.2">
      <c r="F107" t="s">
        <v>18</v>
      </c>
      <c r="G107" s="1">
        <v>33.066178000000001</v>
      </c>
      <c r="H107" s="1">
        <v>-11.363417</v>
      </c>
      <c r="I107" s="1">
        <v>11.432816000000001</v>
      </c>
      <c r="J107" s="1">
        <v>-2.7728739999999998</v>
      </c>
      <c r="K107" s="1">
        <v>-0.158558</v>
      </c>
      <c r="L107" s="1">
        <f t="shared" ref="L107:L113" si="27">$AB$35+273</f>
        <v>1123</v>
      </c>
      <c r="M107" s="1">
        <f t="shared" ref="M107:M113" si="28">$S$35+273</f>
        <v>793</v>
      </c>
      <c r="N107">
        <f>(G107*(L107-M107)+H107/2000*(L107^2-M107^2)+I107/(3*10^6)*(L107^3-M107^3)+J107/(4*10^9)*(L107^4-M107^4)-(10^6*K107)*(1/M107-1/L107))/1000</f>
        <v>10.046576149436682</v>
      </c>
      <c r="P107" s="15"/>
      <c r="R107" t="s">
        <v>73</v>
      </c>
      <c r="T107">
        <f>U90</f>
        <v>1</v>
      </c>
      <c r="W107">
        <f>AB30/100*AC34-S30/100*T34</f>
        <v>21221.986686966105</v>
      </c>
      <c r="X107" s="12" t="s">
        <v>91</v>
      </c>
      <c r="Y107" t="s">
        <v>94</v>
      </c>
      <c r="Z107" s="5">
        <f>W107*T107</f>
        <v>21221.986686966105</v>
      </c>
      <c r="AA107" t="s">
        <v>95</v>
      </c>
      <c r="AB107" s="15"/>
    </row>
    <row r="108" spans="6:30" x14ac:dyDescent="0.2">
      <c r="F108" t="s">
        <v>55</v>
      </c>
      <c r="G108" s="1">
        <v>19.50583</v>
      </c>
      <c r="H108" s="1">
        <v>19.887049999999999</v>
      </c>
      <c r="I108" s="1">
        <v>-8.598535</v>
      </c>
      <c r="J108" s="1">
        <v>1.3697839999999999</v>
      </c>
      <c r="K108" s="1">
        <v>0.52760099999999999</v>
      </c>
      <c r="L108" s="1">
        <f t="shared" si="27"/>
        <v>1123</v>
      </c>
      <c r="M108" s="1">
        <f t="shared" si="28"/>
        <v>793</v>
      </c>
      <c r="N108">
        <f>(G108*(L108-M108)+H108/2000*(L108^2-M108^2)+I108/(3*10^6)*(L108^3-M108^3)+J108/(4*10^9)*(L108^4-M108^4)-(10^6*K108)*(1/M108-1/L108))/1000</f>
        <v>10.307807308985254</v>
      </c>
      <c r="P108" s="15"/>
      <c r="R108" t="s">
        <v>74</v>
      </c>
      <c r="S108">
        <f>V89</f>
        <v>-1</v>
      </c>
      <c r="U108">
        <f>V95</f>
        <v>-1</v>
      </c>
      <c r="W108">
        <f>AB31/100*AC34-S31/100*T34</f>
        <v>-59399.282846270464</v>
      </c>
      <c r="X108" s="12" t="s">
        <v>91</v>
      </c>
      <c r="Y108" t="s">
        <v>92</v>
      </c>
      <c r="Z108" s="5">
        <f>(W108-(U108*Z111))/S108</f>
        <v>59399.282846270464</v>
      </c>
      <c r="AA108" t="s">
        <v>95</v>
      </c>
      <c r="AB108" s="15"/>
      <c r="AD108" s="7"/>
    </row>
    <row r="109" spans="6:30" x14ac:dyDescent="0.2">
      <c r="F109" t="s">
        <v>59</v>
      </c>
      <c r="L109" s="1">
        <f t="shared" si="27"/>
        <v>1123</v>
      </c>
      <c r="M109" s="1">
        <f t="shared" si="28"/>
        <v>793</v>
      </c>
      <c r="P109" s="15"/>
      <c r="R109" t="s">
        <v>75</v>
      </c>
      <c r="V109">
        <f>W96</f>
        <v>-1</v>
      </c>
      <c r="W109">
        <f>AB32/100*AC34-S32/100*T34</f>
        <v>-2889.9261050738382</v>
      </c>
      <c r="X109" s="12" t="s">
        <v>91</v>
      </c>
      <c r="Y109" t="s">
        <v>93</v>
      </c>
      <c r="Z109" s="5">
        <f>W109*V109</f>
        <v>2889.9261050738382</v>
      </c>
      <c r="AA109" t="s">
        <v>95</v>
      </c>
      <c r="AB109" s="15"/>
    </row>
    <row r="110" spans="6:30" x14ac:dyDescent="0.2">
      <c r="F110" t="s">
        <v>56</v>
      </c>
      <c r="G110" s="1">
        <v>24.997350000000001</v>
      </c>
      <c r="H110" s="1">
        <v>55.186959999999999</v>
      </c>
      <c r="I110" s="1">
        <v>-33.691369999999999</v>
      </c>
      <c r="J110" s="1">
        <v>7.9483870000000003</v>
      </c>
      <c r="K110" s="1">
        <v>-0.13663800000000001</v>
      </c>
      <c r="L110" s="1">
        <f t="shared" si="27"/>
        <v>1123</v>
      </c>
      <c r="M110" s="1">
        <f t="shared" si="28"/>
        <v>793</v>
      </c>
      <c r="N110">
        <f>(G110*(L110-M110)+H110/2000*(L110^2-M110^2)+I110/(3*10^6)*(L110^3-M110^3)+J110/(4*10^9)*(L110^4-M110^4)-(10^6*K110)*(1/M110-1/L110))/1000</f>
        <v>17.816398180811717</v>
      </c>
      <c r="P110" s="15"/>
      <c r="R110" t="s">
        <v>76</v>
      </c>
      <c r="S110">
        <f>X89</f>
        <v>-1</v>
      </c>
      <c r="T110">
        <f>X90</f>
        <v>-1</v>
      </c>
      <c r="V110">
        <v>-2</v>
      </c>
      <c r="X110" s="12"/>
      <c r="Z110" s="5"/>
      <c r="AB110" s="15">
        <f>AB33/100*AC34-S33/100*T34</f>
        <v>-86975.877996683863</v>
      </c>
      <c r="AC110">
        <f>S110*Z$108+T110*Z$107+U110*Z$111+V110*Z$109</f>
        <v>-86401.121743384239</v>
      </c>
      <c r="AD110" s="7">
        <f>(AC110-AB110)/AB110</f>
        <v>-6.6082259419276831E-3</v>
      </c>
    </row>
    <row r="111" spans="6:30" x14ac:dyDescent="0.2">
      <c r="F111" t="s">
        <v>44</v>
      </c>
      <c r="G111" s="1">
        <v>-0.70302900000000002</v>
      </c>
      <c r="H111" s="1">
        <v>108.4773</v>
      </c>
      <c r="I111" s="1">
        <v>-42.521569999999997</v>
      </c>
      <c r="J111" s="1">
        <v>5.8627880000000001</v>
      </c>
      <c r="K111" s="1">
        <v>0.67856499999999997</v>
      </c>
      <c r="L111" s="1">
        <f t="shared" si="27"/>
        <v>1123</v>
      </c>
      <c r="M111" s="1">
        <f t="shared" si="28"/>
        <v>793</v>
      </c>
      <c r="N111">
        <f>(G111*(L111-M111)+H111/2000*(L111^2-M111^2)+I111/(3*10^6)*(L111^3-M111^3)+J111/(4*10^9)*(L111^4-M111^4)-(10^6*K111)*(1/M111-1/L111))/1000</f>
        <v>22.556550285762746</v>
      </c>
      <c r="P111" s="15"/>
      <c r="R111" t="s">
        <v>89</v>
      </c>
      <c r="U111">
        <f>Y95</f>
        <v>1</v>
      </c>
      <c r="W111">
        <v>0</v>
      </c>
      <c r="X111" s="12" t="s">
        <v>91</v>
      </c>
      <c r="Y111" t="s">
        <v>90</v>
      </c>
      <c r="Z111">
        <v>0</v>
      </c>
      <c r="AA111" t="s">
        <v>95</v>
      </c>
      <c r="AB111" s="15">
        <v>0</v>
      </c>
      <c r="AC111">
        <f>S111*Z$110+T111*Z$107+U111*Z$105+V111*Z$109</f>
        <v>0</v>
      </c>
    </row>
    <row r="112" spans="6:30" x14ac:dyDescent="0.2">
      <c r="F112" t="s">
        <v>148</v>
      </c>
      <c r="G112" s="1"/>
      <c r="H112" s="1"/>
      <c r="I112" s="1"/>
      <c r="J112" s="1"/>
      <c r="K112" s="1"/>
      <c r="L112" s="1">
        <f t="shared" si="27"/>
        <v>1123</v>
      </c>
      <c r="M112" s="1">
        <f t="shared" si="28"/>
        <v>793</v>
      </c>
      <c r="N112" s="2">
        <f>N111</f>
        <v>22.556550285762746</v>
      </c>
      <c r="P112" s="15"/>
    </row>
    <row r="113" spans="6:30" x14ac:dyDescent="0.2">
      <c r="F113" t="s">
        <v>54</v>
      </c>
      <c r="G113" s="1">
        <v>30.091999999999999</v>
      </c>
      <c r="H113" s="1">
        <v>6.8325139999999998</v>
      </c>
      <c r="I113" s="1">
        <v>6.7934349999999997</v>
      </c>
      <c r="J113" s="1">
        <v>-2.5344799999999998</v>
      </c>
      <c r="K113" s="1">
        <v>8.2139000000000004E-2</v>
      </c>
      <c r="L113" s="1">
        <f t="shared" si="27"/>
        <v>1123</v>
      </c>
      <c r="M113" s="1">
        <f t="shared" si="28"/>
        <v>793</v>
      </c>
      <c r="N113">
        <f>(G113*(L113-M113)+H113/2000*(L113^2-M113^2)+I113/(3*10^6)*(L113^3-M113^3)+J113/(4*10^9)*(L113^4-M113^4)-(10^6*K113)*(1/M113-1/L113))/1000</f>
        <v>13.380599225910006</v>
      </c>
      <c r="P113" s="15"/>
    </row>
    <row r="114" spans="6:30" x14ac:dyDescent="0.2">
      <c r="F114" t="s">
        <v>156</v>
      </c>
      <c r="P114" s="16" t="s">
        <v>103</v>
      </c>
    </row>
    <row r="115" spans="6:30" x14ac:dyDescent="0.2">
      <c r="F115" t="s">
        <v>18</v>
      </c>
      <c r="G115" s="1">
        <v>33.066178000000001</v>
      </c>
      <c r="H115" s="1">
        <v>-11.363417</v>
      </c>
      <c r="I115" s="1">
        <v>11.432816000000001</v>
      </c>
      <c r="J115" s="1">
        <v>-2.7728739999999998</v>
      </c>
      <c r="K115" s="1">
        <v>-0.158558</v>
      </c>
      <c r="L115" s="1">
        <f>$AH$23+273</f>
        <v>623</v>
      </c>
      <c r="M115" s="1">
        <f>$AB$35+273</f>
        <v>1123</v>
      </c>
      <c r="N115">
        <f>(G115*(L115-M115)+H115/2000*(L115^2-M115^2)+I115/(3*10^6)*(L115^3-M115^3)+J115/(4*10^9)*(L115^4-M115^4)-(10^6*K115)*(1/M115-1/L115))/1000</f>
        <v>-15.163907852159891</v>
      </c>
      <c r="P115" s="15"/>
      <c r="AB115" s="2" t="s">
        <v>127</v>
      </c>
    </row>
    <row r="116" spans="6:30" x14ac:dyDescent="0.2">
      <c r="F116" t="s">
        <v>55</v>
      </c>
      <c r="G116" s="1">
        <v>19.50583</v>
      </c>
      <c r="H116" s="1">
        <v>19.887049999999999</v>
      </c>
      <c r="I116" s="1">
        <v>-8.598535</v>
      </c>
      <c r="J116" s="1">
        <v>1.3697839999999999</v>
      </c>
      <c r="K116" s="1">
        <v>0.52760099999999999</v>
      </c>
      <c r="L116" s="1">
        <f t="shared" ref="L116:L121" si="29">$AH$23+273</f>
        <v>623</v>
      </c>
      <c r="M116" s="1">
        <f t="shared" ref="M116:M121" si="30">$AB$35+273</f>
        <v>1123</v>
      </c>
      <c r="N116">
        <f>(G116*(L116-M116)+H116/2000*(L116^2-M116^2)+I116/(3*10^6)*(L116^3-M116^3)+J116/(4*10^9)*(L116^4-M116^4)-(10^6*K116)*(1/M116-1/L116))/1000</f>
        <v>-15.183444629677545</v>
      </c>
      <c r="P116" s="15"/>
      <c r="Q116" t="s">
        <v>104</v>
      </c>
      <c r="R116" t="s">
        <v>105</v>
      </c>
      <c r="S116" t="s">
        <v>145</v>
      </c>
      <c r="T116" t="s">
        <v>47</v>
      </c>
      <c r="U116" t="s">
        <v>48</v>
      </c>
      <c r="V116" t="s">
        <v>49</v>
      </c>
      <c r="W116" t="s">
        <v>33</v>
      </c>
      <c r="X116" t="s">
        <v>50</v>
      </c>
      <c r="Y116" t="s">
        <v>109</v>
      </c>
      <c r="Z116" t="s">
        <v>108</v>
      </c>
      <c r="AA116" t="s">
        <v>144</v>
      </c>
      <c r="AB116" t="s">
        <v>107</v>
      </c>
    </row>
    <row r="117" spans="6:30" x14ac:dyDescent="0.2">
      <c r="F117" t="s">
        <v>59</v>
      </c>
      <c r="G117" s="1">
        <v>25.567589999999999</v>
      </c>
      <c r="H117" s="1">
        <v>6.0961299999999996</v>
      </c>
      <c r="I117" s="1">
        <v>4.0546559999999996</v>
      </c>
      <c r="J117" s="1">
        <v>-2.6713010000000001</v>
      </c>
      <c r="K117" s="1">
        <v>0.131021</v>
      </c>
      <c r="L117" s="1">
        <f t="shared" si="29"/>
        <v>623</v>
      </c>
      <c r="M117" s="1">
        <f t="shared" si="30"/>
        <v>1123</v>
      </c>
      <c r="N117">
        <f>(G117*(L117-M117)+H117/2000*(L117^2-M117^2)+I117/(3*10^6)*(L117^3-M117^3)+J117/(4*10^9)*(L117^4-M117^4)-(10^6*K117)*(1/M117-1/L117))/1000</f>
        <v>-15.976904863759453</v>
      </c>
      <c r="P117" s="15" t="s">
        <v>77</v>
      </c>
      <c r="Q117" t="s">
        <v>44</v>
      </c>
      <c r="R117">
        <v>-1</v>
      </c>
      <c r="S117" s="1">
        <v>-74.599999999999994</v>
      </c>
      <c r="T117" s="1">
        <v>-0.70302900000000002</v>
      </c>
      <c r="U117" s="1">
        <v>108.4773</v>
      </c>
      <c r="V117" s="1">
        <v>-42.521569999999997</v>
      </c>
      <c r="W117" s="1">
        <v>5.8627880000000001</v>
      </c>
      <c r="X117" s="1">
        <v>0.67856499999999997</v>
      </c>
      <c r="Y117" s="1">
        <v>1123</v>
      </c>
      <c r="Z117" s="1">
        <v>298</v>
      </c>
      <c r="AA117">
        <f>(T117*(Y117-Z117)+U117/2000*(Y117^2-Z117^2)+V117/(3*10^6)*(Y117^3-Z117^3)+W117/(4*10^9)*(Y117^4-Z117^4)-(10^6*X117)*(1/Z117-1/Y117))/1000</f>
        <v>43.953456408917837</v>
      </c>
      <c r="AB117" t="s">
        <v>57</v>
      </c>
    </row>
    <row r="118" spans="6:30" x14ac:dyDescent="0.2">
      <c r="F118" t="s">
        <v>56</v>
      </c>
      <c r="G118" s="1">
        <v>24.997350000000001</v>
      </c>
      <c r="H118" s="1">
        <v>55.186959999999999</v>
      </c>
      <c r="I118" s="1">
        <v>-33.691369999999999</v>
      </c>
      <c r="J118" s="1">
        <v>7.9483870000000003</v>
      </c>
      <c r="K118" s="1">
        <v>-0.13663800000000001</v>
      </c>
      <c r="L118" s="1">
        <f t="shared" si="29"/>
        <v>623</v>
      </c>
      <c r="M118" s="1">
        <f t="shared" si="30"/>
        <v>1123</v>
      </c>
      <c r="N118">
        <f>(G118*(L118-M118)+H118/2000*(L118^2-M118^2)+I118/(3*10^6)*(L118^3-M118^3)+J118/(4*10^9)*(L118^4-M118^4)-(10^6*K118)*(1/M118-1/L118))/1000</f>
        <v>-26.356922871727214</v>
      </c>
      <c r="P118" s="15"/>
      <c r="Q118" t="s">
        <v>54</v>
      </c>
      <c r="R118">
        <v>-1</v>
      </c>
      <c r="S118" s="1">
        <v>-241.8</v>
      </c>
      <c r="T118" s="1">
        <v>30.091999999999999</v>
      </c>
      <c r="U118" s="1">
        <v>6.8325139999999998</v>
      </c>
      <c r="V118" s="1">
        <v>6.7934349999999997</v>
      </c>
      <c r="W118" s="1">
        <v>-2.5344799999999998</v>
      </c>
      <c r="X118" s="1">
        <v>8.2139000000000004E-2</v>
      </c>
      <c r="Y118" s="1">
        <v>1123</v>
      </c>
      <c r="Z118" s="1">
        <v>298</v>
      </c>
      <c r="AA118">
        <f>(T118*(Y118-Z118)+U118/2000*(Y118^2-Z118^2)+V118/(3*10^6)*(Y118^3-Z118^3)+W118/(4*10^9)*(Y118^4-Z118^4)-(10^6*X118)*(1/Z118-1/Y118))/1000</f>
        <v>30.772766316992932</v>
      </c>
      <c r="AB118" t="s">
        <v>57</v>
      </c>
    </row>
    <row r="119" spans="6:30" x14ac:dyDescent="0.2">
      <c r="F119" t="s">
        <v>44</v>
      </c>
      <c r="G119" s="1">
        <v>-0.70302900000000002</v>
      </c>
      <c r="H119" s="1">
        <v>108.4773</v>
      </c>
      <c r="I119" s="1">
        <v>-42.521569999999997</v>
      </c>
      <c r="J119" s="1">
        <v>5.8627880000000001</v>
      </c>
      <c r="K119" s="1">
        <v>0.67856499999999997</v>
      </c>
      <c r="L119" s="1">
        <f t="shared" si="29"/>
        <v>623</v>
      </c>
      <c r="M119" s="1">
        <f t="shared" si="30"/>
        <v>1123</v>
      </c>
      <c r="N119">
        <f>(G119*(L119-M119)+H119/2000*(L119^2-M119^2)+I119/(3*10^6)*(L119^3-M119^3)+J119/(4*10^9)*(L119^4-M119^4)-(10^6*K119)*(1/M119-1/L119))/1000</f>
        <v>-31.977800625611639</v>
      </c>
      <c r="P119" s="15"/>
      <c r="Q119" t="s">
        <v>59</v>
      </c>
      <c r="R119">
        <v>1</v>
      </c>
      <c r="S119" s="1">
        <v>-110.5</v>
      </c>
      <c r="T119" s="1">
        <v>25.567589999999999</v>
      </c>
      <c r="U119" s="1">
        <v>6.0961299999999996</v>
      </c>
      <c r="V119" s="1">
        <v>4.0546559999999996</v>
      </c>
      <c r="W119" s="1">
        <v>-2.6713010000000001</v>
      </c>
      <c r="X119" s="1">
        <v>0.131021</v>
      </c>
      <c r="Y119" s="1">
        <v>1123</v>
      </c>
      <c r="Z119" s="1">
        <v>298</v>
      </c>
      <c r="AA119">
        <f>(T119*(Y119-Z119)+U119/2000*(Y119^2-Z119^2)+V119/(3*10^6)*(Y119^3-Z119^3)+W119/(4*10^9)*(Y119^4-Z119^4)-(10^6*X119)*(1/Z119-1/Y119))/1000</f>
        <v>25.165079343686738</v>
      </c>
      <c r="AB119" t="s">
        <v>57</v>
      </c>
    </row>
    <row r="120" spans="6:30" x14ac:dyDescent="0.2">
      <c r="F120" t="s">
        <v>148</v>
      </c>
      <c r="G120" s="1"/>
      <c r="H120" s="1"/>
      <c r="I120" s="1"/>
      <c r="J120" s="1"/>
      <c r="K120" s="1"/>
      <c r="L120" s="1">
        <f t="shared" si="29"/>
        <v>623</v>
      </c>
      <c r="M120" s="1">
        <f t="shared" si="30"/>
        <v>1123</v>
      </c>
      <c r="N120" s="2">
        <f>N119</f>
        <v>-31.977800625611639</v>
      </c>
      <c r="P120" s="15"/>
      <c r="Q120" t="s">
        <v>18</v>
      </c>
      <c r="R120">
        <v>3</v>
      </c>
      <c r="S120" s="1">
        <v>0</v>
      </c>
      <c r="T120" s="1">
        <v>33.066178000000001</v>
      </c>
      <c r="U120" s="1">
        <v>-11.363417</v>
      </c>
      <c r="V120" s="1">
        <v>11.432816000000001</v>
      </c>
      <c r="W120" s="1">
        <v>-2.7728739999999998</v>
      </c>
      <c r="X120" s="1">
        <v>-0.158558</v>
      </c>
      <c r="Y120" s="1">
        <v>1123</v>
      </c>
      <c r="Z120" s="1">
        <v>298</v>
      </c>
      <c r="AA120">
        <f>(T120*(Y120-Z120)+U120/2000*(Y120^2-Z120^2)+V120/(3*10^6)*(Y120^3-Z120^3)+W120/(4*10^9)*(Y120^4-Z120^4)-(10^6*X120)*(1/Z120-1/Y120))/1000</f>
        <v>25.208992927761827</v>
      </c>
      <c r="AB120" t="s">
        <v>57</v>
      </c>
    </row>
    <row r="121" spans="6:30" x14ac:dyDescent="0.2">
      <c r="F121" t="s">
        <v>54</v>
      </c>
      <c r="G121" s="1">
        <v>30.091999999999999</v>
      </c>
      <c r="H121" s="1">
        <v>6.8325139999999998</v>
      </c>
      <c r="I121" s="1">
        <v>6.7934349999999997</v>
      </c>
      <c r="J121" s="1">
        <v>-2.5344799999999998</v>
      </c>
      <c r="K121" s="1">
        <v>8.2139000000000004E-2</v>
      </c>
      <c r="L121" s="1">
        <f t="shared" si="29"/>
        <v>623</v>
      </c>
      <c r="M121" s="1">
        <f t="shared" si="30"/>
        <v>1123</v>
      </c>
      <c r="N121">
        <f>(G121*(L121-M121)+H121/2000*(L121^2-M121^2)+I121/(3*10^6)*(L121^3-M121^3)+J121/(4*10^9)*(L121^4-M121^4)-(10^6*K121)*(1/M121-1/L121))/1000</f>
        <v>-19.716904902713456</v>
      </c>
      <c r="P121" s="15"/>
      <c r="S121">
        <f>SUMPRODUCT(R117:R120,S117:S120)</f>
        <v>205.89999999999998</v>
      </c>
      <c r="AA121">
        <f>SUMPRODUCT(R117:R120,AA117:AA120)</f>
        <v>26.065835401061449</v>
      </c>
      <c r="AC121">
        <f>SUM(S121,AA121)</f>
        <v>231.96583540106144</v>
      </c>
      <c r="AD121" t="s">
        <v>112</v>
      </c>
    </row>
    <row r="122" spans="6:30" x14ac:dyDescent="0.2">
      <c r="F122" t="s">
        <v>181</v>
      </c>
      <c r="P122" s="15" t="s">
        <v>66</v>
      </c>
      <c r="Q122" t="s">
        <v>59</v>
      </c>
      <c r="R122">
        <v>-1</v>
      </c>
      <c r="S122" s="1">
        <v>-110.5</v>
      </c>
      <c r="T122" s="1">
        <v>25.567589999999999</v>
      </c>
      <c r="U122" s="1">
        <v>6.0961299999999996</v>
      </c>
      <c r="V122" s="1">
        <v>4.0546559999999996</v>
      </c>
      <c r="W122" s="1">
        <v>-2.6713010000000001</v>
      </c>
      <c r="X122" s="1">
        <v>0.131021</v>
      </c>
      <c r="Y122" s="1">
        <v>1123</v>
      </c>
      <c r="Z122" s="1">
        <v>298</v>
      </c>
      <c r="AA122">
        <f>(T122*(Y122-Z122)+U122/2000*(Y122^2-Z122^2)+V122/(3*10^6)*(Y122^3-Z122^3)+W122/(4*10^9)*(Y122^4-Z122^4)-(10^6*X122)*(1/Z122-1/Y122))/1000</f>
        <v>25.165079343686738</v>
      </c>
      <c r="AB122" t="s">
        <v>57</v>
      </c>
    </row>
    <row r="123" spans="6:30" x14ac:dyDescent="0.2">
      <c r="F123" t="s">
        <v>18</v>
      </c>
      <c r="G123" s="1">
        <v>33.066178000000001</v>
      </c>
      <c r="H123" s="1">
        <v>-11.363417</v>
      </c>
      <c r="I123" s="1">
        <v>11.432816000000001</v>
      </c>
      <c r="J123" s="1">
        <v>-2.7728739999999998</v>
      </c>
      <c r="K123" s="1">
        <v>-0.158558</v>
      </c>
      <c r="L123" s="1">
        <f>$AO$35+273</f>
        <v>293</v>
      </c>
      <c r="M123" s="1">
        <f>$AI$23+273</f>
        <v>710.86394162283659</v>
      </c>
      <c r="N123">
        <f>(G123*(L123-M123)+H123/2000*(L123^2-M123^2)+I123/(3*10^6)*(L123^3-M123^3)+J123/(4*10^9)*(L123^4-M123^4)-(10^6*K123)*(1/M123-1/L123))/1000</f>
        <v>-12.85310678357296</v>
      </c>
      <c r="P123" s="15"/>
      <c r="Q123" t="s">
        <v>54</v>
      </c>
      <c r="R123">
        <v>-1</v>
      </c>
      <c r="S123" s="1">
        <v>-241.8</v>
      </c>
      <c r="T123" s="1">
        <v>30.091999999999999</v>
      </c>
      <c r="U123" s="1">
        <v>6.8325139999999998</v>
      </c>
      <c r="V123" s="1">
        <v>6.7934349999999997</v>
      </c>
      <c r="W123" s="1">
        <v>-2.5344799999999998</v>
      </c>
      <c r="X123" s="1">
        <v>8.2139000000000004E-2</v>
      </c>
      <c r="Y123" s="1">
        <v>1123</v>
      </c>
      <c r="Z123" s="1">
        <v>298</v>
      </c>
      <c r="AA123">
        <f>(T123*(Y123-Z123)+U123/2000*(Y123^2-Z123^2)+V123/(3*10^6)*(Y123^3-Z123^3)+W123/(4*10^9)*(Y123^4-Z123^4)-(10^6*X123)*(1/Z123-1/Y123))/1000</f>
        <v>30.772766316992932</v>
      </c>
      <c r="AB123" t="s">
        <v>57</v>
      </c>
    </row>
    <row r="124" spans="6:30" x14ac:dyDescent="0.2">
      <c r="F124" t="s">
        <v>55</v>
      </c>
      <c r="G124" s="1">
        <v>19.50583</v>
      </c>
      <c r="H124" s="1">
        <v>19.887049999999999</v>
      </c>
      <c r="I124" s="1">
        <v>-8.598535</v>
      </c>
      <c r="J124" s="1">
        <v>1.3697839999999999</v>
      </c>
      <c r="K124" s="1">
        <v>0.52760099999999999</v>
      </c>
      <c r="L124" s="1">
        <f t="shared" ref="L124:L129" si="31">$AO$35+273</f>
        <v>293</v>
      </c>
      <c r="M124" s="1">
        <f t="shared" ref="M124:M129" si="32">$AI$23+273</f>
        <v>710.86394162283659</v>
      </c>
      <c r="N124">
        <f>(G124*(L124-M124)+H124/2000*(L124^2-M124^2)+I124/(3*10^6)*(L124^3-M124^3)+J124/(4*10^9)*(L124^4-M124^4)-(10^6*K124)*(1/M124-1/L124))/1000</f>
        <v>-10.390820105298872</v>
      </c>
      <c r="P124" s="15"/>
      <c r="Q124" t="s">
        <v>56</v>
      </c>
      <c r="R124">
        <v>1</v>
      </c>
      <c r="S124" s="1">
        <v>-393.5</v>
      </c>
      <c r="T124" s="1">
        <v>24.997350000000001</v>
      </c>
      <c r="U124" s="1">
        <v>55.186959999999999</v>
      </c>
      <c r="V124" s="1">
        <v>-33.691369999999999</v>
      </c>
      <c r="W124" s="1">
        <v>7.9483870000000003</v>
      </c>
      <c r="X124" s="1">
        <v>-0.13663800000000001</v>
      </c>
      <c r="Y124" s="1">
        <v>1123</v>
      </c>
      <c r="Z124" s="1">
        <v>298</v>
      </c>
      <c r="AA124">
        <f>(T124*(Y124-Z124)+U124/2000*(Y124^2-Z124^2)+V124/(3*10^6)*(Y124^3-Z124^3)+W124/(4*10^9)*(Y124^4-Z124^4)-(10^6*X124)*(1/Z124-1/Y124))/1000</f>
        <v>40.844972825293731</v>
      </c>
      <c r="AB124" t="s">
        <v>57</v>
      </c>
    </row>
    <row r="125" spans="6:30" x14ac:dyDescent="0.2">
      <c r="F125" t="s">
        <v>59</v>
      </c>
      <c r="G125" s="1">
        <v>25.567589999999999</v>
      </c>
      <c r="H125" s="1">
        <v>6.0961299999999996</v>
      </c>
      <c r="I125" s="1">
        <v>4.0546559999999996</v>
      </c>
      <c r="J125" s="1">
        <v>-2.6713010000000001</v>
      </c>
      <c r="K125" s="1">
        <v>0.131021</v>
      </c>
      <c r="L125" s="1">
        <f t="shared" si="31"/>
        <v>293</v>
      </c>
      <c r="M125" s="1">
        <f t="shared" si="32"/>
        <v>710.86394162283659</v>
      </c>
      <c r="N125">
        <f>(G125*(L125-M125)+H125/2000*(L125^2-M125^2)+I125/(3*10^6)*(L125^3-M125^3)+J125/(4*10^9)*(L125^4-M125^4)-(10^6*K125)*(1/M125-1/L125))/1000</f>
        <v>-11.985408991271886</v>
      </c>
      <c r="P125" s="15"/>
      <c r="Q125" t="s">
        <v>18</v>
      </c>
      <c r="R125">
        <v>1</v>
      </c>
      <c r="S125" s="1">
        <v>0</v>
      </c>
      <c r="T125" s="1">
        <v>33.066178000000001</v>
      </c>
      <c r="U125" s="1">
        <v>-11.363417</v>
      </c>
      <c r="V125" s="1">
        <v>11.432816000000001</v>
      </c>
      <c r="W125" s="1">
        <v>-2.7728739999999998</v>
      </c>
      <c r="X125" s="1">
        <v>-0.158558</v>
      </c>
      <c r="Y125" s="1">
        <v>1123</v>
      </c>
      <c r="Z125" s="1">
        <v>298</v>
      </c>
      <c r="AA125">
        <f>(T125*(Y125-Z125)+U125/2000*(Y125^2-Z125^2)+V125/(3*10^6)*(Y125^3-Z125^3)+W125/(4*10^9)*(Y125^4-Z125^4)-(10^6*X125)*(1/Z125-1/Y125))/1000</f>
        <v>25.208992927761827</v>
      </c>
      <c r="AB125" t="s">
        <v>57</v>
      </c>
    </row>
    <row r="126" spans="6:30" x14ac:dyDescent="0.2">
      <c r="F126" t="s">
        <v>56</v>
      </c>
      <c r="G126" s="1">
        <v>24.997350000000001</v>
      </c>
      <c r="H126" s="1">
        <v>55.186959999999999</v>
      </c>
      <c r="I126" s="1">
        <v>-33.691369999999999</v>
      </c>
      <c r="J126" s="1">
        <v>7.9483870000000003</v>
      </c>
      <c r="K126" s="1">
        <v>-0.13663800000000001</v>
      </c>
      <c r="L126" s="1">
        <f t="shared" si="31"/>
        <v>293</v>
      </c>
      <c r="M126" s="1">
        <f t="shared" si="32"/>
        <v>710.86394162283659</v>
      </c>
      <c r="N126">
        <f>(G126*(L126-M126)+H126/2000*(L126^2-M126^2)+I126/(3*10^6)*(L126^3-M126^3)+J126/(4*10^9)*(L126^4-M126^4)-(10^6*K126)*(1/M126-1/L126))/1000</f>
        <v>-19.035556539606532</v>
      </c>
      <c r="P126" s="15"/>
      <c r="S126">
        <f>SUMPRODUCT(R122:R125,S122:S125)</f>
        <v>-41.199999999999989</v>
      </c>
      <c r="AA126">
        <f>SUMPRODUCT(R122:R125,AA122:AA125)</f>
        <v>10.116120092375887</v>
      </c>
      <c r="AC126">
        <f>SUM(S126,AA126)</f>
        <v>-31.083879907624102</v>
      </c>
      <c r="AD126" t="s">
        <v>112</v>
      </c>
    </row>
    <row r="127" spans="6:30" x14ac:dyDescent="0.2">
      <c r="F127" t="s">
        <v>44</v>
      </c>
      <c r="G127" s="1">
        <v>-0.70302900000000002</v>
      </c>
      <c r="H127" s="1">
        <v>108.4773</v>
      </c>
      <c r="I127" s="1">
        <v>-42.521569999999997</v>
      </c>
      <c r="J127" s="1">
        <v>5.8627880000000001</v>
      </c>
      <c r="K127" s="1">
        <v>0.67856499999999997</v>
      </c>
      <c r="L127" s="1">
        <f t="shared" si="31"/>
        <v>293</v>
      </c>
      <c r="M127" s="1">
        <f t="shared" si="32"/>
        <v>710.86394162283659</v>
      </c>
      <c r="N127">
        <f>(G127*(L127-M127)+H127/2000*(L127^2-M127^2)+I127/(3*10^6)*(L127^3-M127^3)+J127/(4*10^9)*(L127^4-M127^4)-(10^6*K127)*(1/M127-1/L127))/1000</f>
        <v>-16.725299201395305</v>
      </c>
      <c r="P127" s="15" t="s">
        <v>82</v>
      </c>
      <c r="Q127" t="s">
        <v>44</v>
      </c>
      <c r="R127">
        <v>-1</v>
      </c>
    </row>
    <row r="128" spans="6:30" x14ac:dyDescent="0.2">
      <c r="F128" t="s">
        <v>148</v>
      </c>
      <c r="G128" s="1"/>
      <c r="H128" s="1"/>
      <c r="I128" s="1"/>
      <c r="J128" s="1"/>
      <c r="K128" s="1"/>
      <c r="L128" s="1">
        <f t="shared" si="31"/>
        <v>293</v>
      </c>
      <c r="M128" s="1">
        <f t="shared" si="32"/>
        <v>710.86394162283659</v>
      </c>
      <c r="N128" s="2">
        <f>N127</f>
        <v>-16.725299201395305</v>
      </c>
      <c r="P128" s="15"/>
      <c r="Q128" t="s">
        <v>49</v>
      </c>
      <c r="R128">
        <v>1</v>
      </c>
    </row>
    <row r="129" spans="6:30" x14ac:dyDescent="0.2">
      <c r="F129" t="s">
        <v>54</v>
      </c>
      <c r="G129" s="1">
        <v>30.091999999999999</v>
      </c>
      <c r="H129" s="1">
        <v>6.8325139999999998</v>
      </c>
      <c r="I129" s="1">
        <v>6.7934349999999997</v>
      </c>
      <c r="J129" s="1">
        <v>-2.5344799999999998</v>
      </c>
      <c r="K129" s="1">
        <v>8.2139000000000004E-2</v>
      </c>
      <c r="L129" s="1">
        <f t="shared" si="31"/>
        <v>293</v>
      </c>
      <c r="M129" s="1">
        <f t="shared" si="32"/>
        <v>710.86394162283659</v>
      </c>
      <c r="N129">
        <f>(G129*(L129-M129)+H129/2000*(L129^2-M129^2)+I129/(3*10^6)*(L129^3-M129^3)+J129/(4*10^9)*(L129^4-M129^4)-(10^6*K129)*(1/M129-1/L129))/1000</f>
        <v>-14.44197347644176</v>
      </c>
      <c r="P129" s="15"/>
      <c r="Q129" t="s">
        <v>18</v>
      </c>
      <c r="R129">
        <v>2</v>
      </c>
    </row>
    <row r="130" spans="6:30" x14ac:dyDescent="0.2">
      <c r="F130" t="s">
        <v>310</v>
      </c>
      <c r="P130" s="15"/>
      <c r="AC130" t="s">
        <v>113</v>
      </c>
    </row>
    <row r="131" spans="6:30" x14ac:dyDescent="0.2">
      <c r="F131" t="s">
        <v>18</v>
      </c>
      <c r="G131" s="1">
        <v>33.066178000000001</v>
      </c>
      <c r="H131" s="1">
        <v>-11.363417</v>
      </c>
      <c r="I131" s="1">
        <v>11.432816000000001</v>
      </c>
      <c r="J131" s="1">
        <v>-2.7728739999999998</v>
      </c>
      <c r="K131" s="1">
        <v>-0.158558</v>
      </c>
      <c r="L131" s="1">
        <f>$AI$23+273</f>
        <v>710.86394162283659</v>
      </c>
      <c r="M131" s="1">
        <f>$AH$23+273</f>
        <v>623</v>
      </c>
      <c r="N131">
        <f>(G131*(L131-M131)+H131/2000*(L131^2-M131^2)+I131/(3*10^6)*(L131^3-M131^3)+J131/(4*10^9)*(L131^4-M131^4)-(10^6*K131)*(1/M131-1/L131))/1000</f>
        <v>2.6457665774266363</v>
      </c>
      <c r="P131" s="15" t="s">
        <v>83</v>
      </c>
      <c r="Q131" t="s">
        <v>60</v>
      </c>
      <c r="R131">
        <v>-1</v>
      </c>
      <c r="S131" s="1">
        <v>-84</v>
      </c>
      <c r="T131" t="s">
        <v>57</v>
      </c>
      <c r="U131" t="s">
        <v>57</v>
      </c>
      <c r="V131" t="s">
        <v>57</v>
      </c>
      <c r="W131" t="s">
        <v>57</v>
      </c>
      <c r="X131" t="s">
        <v>57</v>
      </c>
      <c r="Y131" s="1">
        <v>1123</v>
      </c>
      <c r="Z131" s="1">
        <v>298</v>
      </c>
      <c r="AA131" s="2">
        <f>AA117</f>
        <v>43.953456408917837</v>
      </c>
      <c r="AB131" t="s">
        <v>57</v>
      </c>
    </row>
    <row r="132" spans="6:30" x14ac:dyDescent="0.2">
      <c r="F132" t="s">
        <v>55</v>
      </c>
      <c r="G132" s="1">
        <v>19.50583</v>
      </c>
      <c r="H132" s="1">
        <v>19.887049999999999</v>
      </c>
      <c r="I132" s="1">
        <v>-8.598535</v>
      </c>
      <c r="J132" s="1">
        <v>1.3697839999999999</v>
      </c>
      <c r="K132" s="1">
        <v>0.52760099999999999</v>
      </c>
      <c r="L132" s="1">
        <f t="shared" ref="L132:L137" si="33">$AI$23+273</f>
        <v>710.86394162283659</v>
      </c>
      <c r="M132" s="1">
        <f t="shared" ref="M132:M137" si="34">$AH$23+273</f>
        <v>623</v>
      </c>
      <c r="N132">
        <f>(G132*(L132-M132)+H132/2000*(L132^2-M132^2)+I132/(3*10^6)*(L132^3-M132^3)+J132/(4*10^9)*(L132^4-M132^4)-(10^6*K132)*(1/M132-1/L132))/1000</f>
        <v>2.4738775382047589</v>
      </c>
      <c r="P132" s="15"/>
      <c r="Q132" t="s">
        <v>54</v>
      </c>
      <c r="R132">
        <v>-2</v>
      </c>
      <c r="S132" s="1">
        <v>-241.8</v>
      </c>
      <c r="T132" s="1">
        <v>30.091999999999999</v>
      </c>
      <c r="U132" s="1">
        <v>6.8325139999999998</v>
      </c>
      <c r="V132" s="1">
        <v>6.7934349999999997</v>
      </c>
      <c r="W132" s="1">
        <v>-2.5344799999999998</v>
      </c>
      <c r="X132" s="1">
        <v>8.2139000000000004E-2</v>
      </c>
      <c r="Y132" s="1">
        <v>1123</v>
      </c>
      <c r="Z132" s="1">
        <v>298</v>
      </c>
      <c r="AA132">
        <f>(T132*(Y132-Z132)+U132/2000*(Y132^2-Z132^2)+V132/(3*10^6)*(Y132^3-Z132^3)+W132/(4*10^9)*(Y132^4-Z132^4)-(10^6*X132)*(1/Z132-1/Y132))/1000</f>
        <v>30.772766316992932</v>
      </c>
      <c r="AB132" t="s">
        <v>57</v>
      </c>
    </row>
    <row r="133" spans="6:30" x14ac:dyDescent="0.2">
      <c r="F133" t="s">
        <v>59</v>
      </c>
      <c r="G133" s="1">
        <v>25.567589999999999</v>
      </c>
      <c r="H133" s="1">
        <v>6.0961299999999996</v>
      </c>
      <c r="I133" s="1">
        <v>4.0546559999999996</v>
      </c>
      <c r="J133" s="1">
        <v>-2.6713010000000001</v>
      </c>
      <c r="K133" s="1">
        <v>0.131021</v>
      </c>
      <c r="L133" s="1">
        <f t="shared" si="33"/>
        <v>710.86394162283659</v>
      </c>
      <c r="M133" s="1">
        <f t="shared" si="34"/>
        <v>623</v>
      </c>
      <c r="N133">
        <f>(G133*(L133-M133)+H133/2000*(L133^2-M133^2)+I133/(3*10^6)*(L133^3-M133^3)+J133/(4*10^9)*(L133^4-M133^4)-(10^6*K133)*(1/M133-1/L133))/1000</f>
        <v>2.6664667467393541</v>
      </c>
      <c r="P133" s="15"/>
      <c r="Q133" t="s">
        <v>59</v>
      </c>
      <c r="R133">
        <v>2</v>
      </c>
      <c r="S133" s="1">
        <v>-110.5</v>
      </c>
      <c r="T133" s="1">
        <v>25.567589999999999</v>
      </c>
      <c r="U133" s="1">
        <v>6.0961299999999996</v>
      </c>
      <c r="V133" s="1">
        <v>4.0546559999999996</v>
      </c>
      <c r="W133" s="1">
        <v>-2.6713010000000001</v>
      </c>
      <c r="X133" s="1">
        <v>0.131021</v>
      </c>
      <c r="Y133" s="1">
        <v>1123</v>
      </c>
      <c r="Z133" s="1">
        <v>298</v>
      </c>
      <c r="AA133">
        <f>(T133*(Y133-Z133)+U133/2000*(Y133^2-Z133^2)+V133/(3*10^6)*(Y133^3-Z133^3)+W133/(4*10^9)*(Y133^4-Z133^4)-(10^6*X133)*(1/Z133-1/Y133))/1000</f>
        <v>25.165079343686738</v>
      </c>
      <c r="AB133" t="s">
        <v>57</v>
      </c>
    </row>
    <row r="134" spans="6:30" x14ac:dyDescent="0.2">
      <c r="F134" t="s">
        <v>56</v>
      </c>
      <c r="G134" s="1">
        <v>24.997350000000001</v>
      </c>
      <c r="H134" s="1">
        <v>55.186959999999999</v>
      </c>
      <c r="I134" s="1">
        <v>-33.691369999999999</v>
      </c>
      <c r="J134" s="1">
        <v>7.9483870000000003</v>
      </c>
      <c r="K134" s="1">
        <v>-0.13663800000000001</v>
      </c>
      <c r="L134" s="1">
        <f t="shared" si="33"/>
        <v>710.86394162283659</v>
      </c>
      <c r="M134" s="1">
        <f t="shared" si="34"/>
        <v>623</v>
      </c>
      <c r="N134">
        <f>(G134*(L134-M134)+H134/2000*(L134^2-M134^2)+I134/(3*10^6)*(L134^3-M134^3)+J134/(4*10^9)*(L134^4-M134^4)-(10^6*K134)*(1/M134-1/L134))/1000</f>
        <v>4.3468410895755216</v>
      </c>
      <c r="P134" s="15"/>
      <c r="Q134" t="s">
        <v>18</v>
      </c>
      <c r="R134">
        <v>5</v>
      </c>
      <c r="S134" s="1">
        <v>0</v>
      </c>
      <c r="T134" s="1">
        <v>33.066178000000001</v>
      </c>
      <c r="U134" s="1">
        <v>-11.363417</v>
      </c>
      <c r="V134" s="1">
        <v>11.432816000000001</v>
      </c>
      <c r="W134" s="1">
        <v>-2.7728739999999998</v>
      </c>
      <c r="X134" s="1">
        <v>-0.158558</v>
      </c>
      <c r="Y134" s="1">
        <v>1123</v>
      </c>
      <c r="Z134" s="1">
        <v>298</v>
      </c>
      <c r="AA134">
        <f>(T134*(Y134-Z134)+U134/2000*(Y134^2-Z134^2)+V134/(3*10^6)*(Y134^3-Z134^3)+W134/(4*10^9)*(Y134^4-Z134^4)-(10^6*X134)*(1/Z134-1/Y134))/1000</f>
        <v>25.208992927761827</v>
      </c>
      <c r="AB134" t="s">
        <v>57</v>
      </c>
    </row>
    <row r="135" spans="6:30" x14ac:dyDescent="0.2">
      <c r="F135" t="s">
        <v>44</v>
      </c>
      <c r="G135" s="1">
        <v>-0.70302900000000002</v>
      </c>
      <c r="H135" s="1">
        <v>108.4773</v>
      </c>
      <c r="I135" s="1">
        <v>-42.521569999999997</v>
      </c>
      <c r="J135" s="1">
        <v>5.8627880000000001</v>
      </c>
      <c r="K135" s="1">
        <v>0.67856499999999997</v>
      </c>
      <c r="L135" s="1">
        <f t="shared" si="33"/>
        <v>710.86394162283659</v>
      </c>
      <c r="M135" s="1">
        <f t="shared" si="34"/>
        <v>623</v>
      </c>
      <c r="N135">
        <f>(G135*(L135-M135)+H135/2000*(L135^2-M135^2)+I135/(3*10^6)*(L135^3-M135^3)+J135/(4*10^9)*(L135^4-M135^4)-(10^6*K135)*(1/M135-1/L135))/1000</f>
        <v>4.6495500635458944</v>
      </c>
      <c r="P135" s="15"/>
      <c r="S135">
        <f>SUMPRODUCT(R131:R134,S131:S134)</f>
        <v>346.6</v>
      </c>
      <c r="AA135">
        <f>SUMPRODUCT(R131:R134,AA131:AA134)</f>
        <v>70.876134283278901</v>
      </c>
      <c r="AC135">
        <f>SUM(S135,AA135)</f>
        <v>417.47613428327895</v>
      </c>
      <c r="AD135" t="s">
        <v>112</v>
      </c>
    </row>
    <row r="136" spans="6:30" x14ac:dyDescent="0.2">
      <c r="F136" t="s">
        <v>148</v>
      </c>
      <c r="G136" s="1"/>
      <c r="H136" s="1"/>
      <c r="I136" s="1"/>
      <c r="J136" s="1"/>
      <c r="K136" s="1"/>
      <c r="L136" s="1">
        <f t="shared" si="33"/>
        <v>710.86394162283659</v>
      </c>
      <c r="M136" s="1">
        <f t="shared" si="34"/>
        <v>623</v>
      </c>
      <c r="N136" s="2">
        <f>N135</f>
        <v>4.6495500635458944</v>
      </c>
    </row>
    <row r="137" spans="6:30" x14ac:dyDescent="0.2">
      <c r="F137" t="s">
        <v>54</v>
      </c>
      <c r="G137" s="1">
        <v>30.091999999999999</v>
      </c>
      <c r="H137" s="1">
        <v>6.8325139999999998</v>
      </c>
      <c r="I137" s="1">
        <v>6.7934349999999997</v>
      </c>
      <c r="J137" s="1">
        <v>-2.5344799999999998</v>
      </c>
      <c r="K137" s="1">
        <v>8.2139000000000004E-2</v>
      </c>
      <c r="L137" s="1">
        <f t="shared" si="33"/>
        <v>710.86394162283659</v>
      </c>
      <c r="M137" s="1">
        <f t="shared" si="34"/>
        <v>623</v>
      </c>
      <c r="N137">
        <f>(G137*(L137-M137)+H137/2000*(L137^2-M137^2)+I137/(3*10^6)*(L137^3-M137^3)+J137/(4*10^9)*(L137^4-M137^4)-(10^6*K137)*(1/M137-1/L137))/1000</f>
        <v>3.2276215965587252</v>
      </c>
      <c r="P137" s="15" t="s">
        <v>66</v>
      </c>
      <c r="Q137" t="s">
        <v>59</v>
      </c>
      <c r="R137">
        <v>-1</v>
      </c>
      <c r="S137" s="1">
        <v>-110.5</v>
      </c>
      <c r="T137" s="1">
        <v>25.567589999999999</v>
      </c>
      <c r="U137" s="1">
        <v>6.0961299999999996</v>
      </c>
      <c r="V137" s="1">
        <v>4.0546559999999996</v>
      </c>
      <c r="W137" s="1">
        <v>-2.6713010000000001</v>
      </c>
      <c r="X137" s="1">
        <v>0.131021</v>
      </c>
      <c r="Y137" s="1">
        <f>$AI$23+273</f>
        <v>710.86394162283659</v>
      </c>
      <c r="Z137" s="1">
        <v>298</v>
      </c>
      <c r="AA137">
        <f>(T137*(Y137-Z137)+U137/2000*(Y137^2-Z137^2)+V137/(3*10^6)*(Y137^3-Z137^3)+W137/(4*10^9)*(Y137^4-Z137^4)-(10^6*X137)*(1/Z137-1/Y137))/1000</f>
        <v>11.854641226666642</v>
      </c>
      <c r="AB137" t="s">
        <v>57</v>
      </c>
    </row>
    <row r="138" spans="6:30" x14ac:dyDescent="0.2">
      <c r="F138" t="s">
        <v>158</v>
      </c>
      <c r="G138" s="1"/>
      <c r="H138" s="1"/>
      <c r="I138" s="1"/>
      <c r="J138" s="1"/>
      <c r="K138" s="1"/>
      <c r="L138" s="1"/>
      <c r="M138" s="1"/>
      <c r="P138" s="15"/>
      <c r="Q138" t="s">
        <v>54</v>
      </c>
      <c r="R138">
        <v>-1</v>
      </c>
      <c r="S138" s="1">
        <v>-241.8</v>
      </c>
      <c r="T138" s="1">
        <v>30.091999999999999</v>
      </c>
      <c r="U138" s="1">
        <v>6.8325139999999998</v>
      </c>
      <c r="V138" s="1">
        <v>6.7934349999999997</v>
      </c>
      <c r="W138" s="1">
        <v>-2.5344799999999998</v>
      </c>
      <c r="X138" s="1">
        <v>8.2139000000000004E-2</v>
      </c>
      <c r="Y138" s="1">
        <f t="shared" ref="Y138:Y140" si="35">$AI$23+273</f>
        <v>710.86394162283659</v>
      </c>
      <c r="Z138" s="1">
        <v>298</v>
      </c>
      <c r="AA138">
        <f>(T138*(Y138-Z138)+U138/2000*(Y138^2-Z138^2)+V138/(3*10^6)*(Y138^3-Z138^3)+W138/(4*10^9)*(Y138^4-Z138^4)-(10^6*X138)*(1/Z138-1/Y138))/1000</f>
        <v>14.283483010838198</v>
      </c>
      <c r="AB138" t="s">
        <v>57</v>
      </c>
    </row>
    <row r="139" spans="6:30" x14ac:dyDescent="0.2">
      <c r="F139" t="s">
        <v>160</v>
      </c>
      <c r="G139" s="1">
        <v>19.50583</v>
      </c>
      <c r="H139" s="1">
        <v>19.887049999999999</v>
      </c>
      <c r="I139" s="1">
        <v>-8.598535</v>
      </c>
      <c r="J139" s="1">
        <v>1.3697839999999999</v>
      </c>
      <c r="K139" s="1">
        <v>0.52760099999999999</v>
      </c>
      <c r="L139" s="1">
        <f>500+273</f>
        <v>773</v>
      </c>
      <c r="M139" s="1">
        <f>20+273</f>
        <v>293</v>
      </c>
      <c r="N139">
        <f>(G139*(L139-M139)+H139/2000*(L139^2-M139^2)+I139/(3*10^6)*(L139^3-M139^3)+J139/(4*10^9)*(L139^4-M139^4)-(10^6*K139)*(1/M139-1/L139))/1000</f>
        <v>12.200531800964121</v>
      </c>
      <c r="P139" s="15"/>
      <c r="Q139" t="s">
        <v>56</v>
      </c>
      <c r="R139">
        <v>1</v>
      </c>
      <c r="S139" s="1">
        <v>-393.5</v>
      </c>
      <c r="T139" s="1">
        <v>24.997350000000001</v>
      </c>
      <c r="U139" s="1">
        <v>55.186959999999999</v>
      </c>
      <c r="V139" s="1">
        <v>-33.691369999999999</v>
      </c>
      <c r="W139" s="1">
        <v>7.9483870000000003</v>
      </c>
      <c r="X139" s="1">
        <v>-0.13663800000000001</v>
      </c>
      <c r="Y139" s="1">
        <f t="shared" si="35"/>
        <v>710.86394162283659</v>
      </c>
      <c r="Z139" s="1">
        <v>298</v>
      </c>
      <c r="AA139">
        <f>(T139*(Y139-Z139)+U139/2000*(Y139^2-Z139^2)+V139/(3*10^6)*(Y139^3-Z139^3)+W139/(4*10^9)*(Y139^4-Z139^4)-(10^6*X139)*(1/Z139-1/Y139))/1000</f>
        <v>18.834891043142033</v>
      </c>
      <c r="AB139" t="s">
        <v>57</v>
      </c>
    </row>
    <row r="140" spans="6:30" x14ac:dyDescent="0.2">
      <c r="F140" t="s">
        <v>159</v>
      </c>
      <c r="G140" s="1">
        <v>30.032350000000001</v>
      </c>
      <c r="H140" s="1">
        <v>8.7729719999999993</v>
      </c>
      <c r="I140" s="1">
        <v>-3.9881329999999999</v>
      </c>
      <c r="J140" s="1">
        <v>0.78831300000000004</v>
      </c>
      <c r="K140" s="1">
        <v>-0.74159900000000001</v>
      </c>
      <c r="L140" s="1">
        <f>500+273</f>
        <v>773</v>
      </c>
      <c r="M140" s="1">
        <f>20+273</f>
        <v>293</v>
      </c>
      <c r="N140">
        <f>(G140*(L140-M140)+H140/2000*(L140^2-M140^2)+I140/(3*10^6)*(L140^3-M140^3)+J140/(4*10^9)*(L140^4-M140^4)-(10^6*K140)*(1/M140-1/L140))/1000</f>
        <v>17.720007237816304</v>
      </c>
      <c r="P140" s="15"/>
      <c r="Q140" t="s">
        <v>18</v>
      </c>
      <c r="R140">
        <v>1</v>
      </c>
      <c r="S140" s="1">
        <v>0</v>
      </c>
      <c r="T140" s="1">
        <v>33.066178000000001</v>
      </c>
      <c r="U140" s="1">
        <v>-11.363417</v>
      </c>
      <c r="V140" s="1">
        <v>11.432816000000001</v>
      </c>
      <c r="W140" s="1">
        <v>-2.7728739999999998</v>
      </c>
      <c r="X140" s="1">
        <v>-0.158558</v>
      </c>
      <c r="Y140" s="1">
        <f t="shared" si="35"/>
        <v>710.86394162283659</v>
      </c>
      <c r="Z140" s="1">
        <v>298</v>
      </c>
      <c r="AA140">
        <f>(T140*(Y140-Z140)+U140/2000*(Y140^2-Z140^2)+V140/(3*10^6)*(Y140^3-Z140^3)+W140/(4*10^9)*(Y140^4-Z140^4)-(10^6*X140)*(1/Z140-1/Y140))/1000</f>
        <v>12.690851653028576</v>
      </c>
      <c r="AB140" t="s">
        <v>57</v>
      </c>
    </row>
    <row r="141" spans="6:30" x14ac:dyDescent="0.2">
      <c r="F141" t="s">
        <v>26</v>
      </c>
      <c r="G141" s="1"/>
      <c r="H141" s="1"/>
      <c r="I141" s="1"/>
      <c r="J141" s="1"/>
      <c r="K141" s="1"/>
      <c r="L141" s="1"/>
      <c r="M141" s="1"/>
      <c r="P141" s="15"/>
      <c r="S141">
        <f>SUMPRODUCT(R137:R140,S137:S140)</f>
        <v>-41.199999999999989</v>
      </c>
      <c r="AA141">
        <f>SUMPRODUCT(R137:R140,AA137:AA140)</f>
        <v>5.3876184586657683</v>
      </c>
      <c r="AC141">
        <f>SUM(S141,AA141)</f>
        <v>-35.812381541334219</v>
      </c>
      <c r="AD141" t="s">
        <v>112</v>
      </c>
    </row>
    <row r="142" spans="6:30" x14ac:dyDescent="0.2">
      <c r="F142" t="s">
        <v>153</v>
      </c>
      <c r="G142" s="1">
        <v>19.50583</v>
      </c>
      <c r="H142" s="1">
        <v>19.887049999999999</v>
      </c>
      <c r="I142" s="1">
        <v>-8.598535</v>
      </c>
      <c r="J142" s="1">
        <v>1.3697839999999999</v>
      </c>
      <c r="K142" s="1">
        <v>0.52760099999999999</v>
      </c>
      <c r="L142" s="1">
        <f>$AB$35+273</f>
        <v>1123</v>
      </c>
      <c r="M142" s="1">
        <f>$AB$50+273</f>
        <v>293</v>
      </c>
      <c r="N142">
        <f>(G142*(L142-M142)+H142/2000*(L142^2-M142^2)+I142/(3*10^6)*(L142^3-M142^3)+J142/(4*10^9)*(L142^4-M142^4)-(10^6*K142)*(1/M142-1/L142))/1000</f>
        <v>23.10038719677166</v>
      </c>
    </row>
    <row r="143" spans="6:30" x14ac:dyDescent="0.2">
      <c r="F143" t="s">
        <v>151</v>
      </c>
      <c r="G143" s="1">
        <v>24.997350000000001</v>
      </c>
      <c r="H143" s="1">
        <v>55.186959999999999</v>
      </c>
      <c r="I143" s="1">
        <v>-33.691369999999999</v>
      </c>
      <c r="J143" s="1">
        <v>7.9483870000000003</v>
      </c>
      <c r="K143" s="1">
        <v>-0.13663800000000001</v>
      </c>
      <c r="L143" s="1">
        <f>$AB$35+273</f>
        <v>1123</v>
      </c>
      <c r="M143" s="1">
        <f>$AB$50+273</f>
        <v>293</v>
      </c>
      <c r="N143">
        <f>(G143*(L143-M143)+H143/2000*(L143^2-M143^2)+I143/(3*10^6)*(L143^3-M143^3)+J143/(4*10^9)*(L143^4-M143^4)-(10^6*K143)*(1/M143-1/L143))/1000</f>
        <v>41.045638321758219</v>
      </c>
      <c r="P143" t="s">
        <v>269</v>
      </c>
      <c r="Q143" t="s">
        <v>44</v>
      </c>
      <c r="R143">
        <v>-1</v>
      </c>
      <c r="S143" s="1">
        <v>-74.599999999999994</v>
      </c>
      <c r="T143" s="1">
        <v>-0.70302900000000002</v>
      </c>
      <c r="U143" s="1">
        <v>108.4773</v>
      </c>
      <c r="V143" s="1">
        <v>-42.521569999999997</v>
      </c>
      <c r="W143" s="1">
        <v>5.8627880000000001</v>
      </c>
      <c r="X143" s="1">
        <v>0.67856499999999997</v>
      </c>
      <c r="Y143" s="1">
        <f>1000+273</f>
        <v>1273</v>
      </c>
      <c r="Z143" s="1">
        <v>298</v>
      </c>
      <c r="AA143">
        <f>(T143*(Y143-Z143)+U143/2000*(Y143^2-Z143^2)+V143/(3*10^6)*(Y143^3-Z143^3)+W143/(4*10^9)*(Y143^4-Z143^4)-(10^6*X143)*(1/Z143-1/Y143))/1000</f>
        <v>55.622120778878397</v>
      </c>
    </row>
    <row r="144" spans="6:30" x14ac:dyDescent="0.2">
      <c r="F144" t="s">
        <v>152</v>
      </c>
      <c r="G144" s="1">
        <v>30.091999999999999</v>
      </c>
      <c r="H144" s="1">
        <v>6.8325139999999998</v>
      </c>
      <c r="I144" s="1">
        <v>6.7934349999999997</v>
      </c>
      <c r="J144" s="1">
        <v>-2.5344799999999998</v>
      </c>
      <c r="K144" s="1">
        <v>8.2139000000000004E-2</v>
      </c>
      <c r="L144" s="1">
        <f>$AB$35+273</f>
        <v>1123</v>
      </c>
      <c r="M144" s="1">
        <f>100+273</f>
        <v>373</v>
      </c>
      <c r="N144">
        <f>(G144*(L144-M144)+H144/2000*(L144^2-M144^2)+I144/(3*10^6)*(L144^3-M144^3)+J144/(4*10^9)*(L144^4-M144^4)-(10^6*K144)*(1/M144-1/L144))/1000</f>
        <v>28.349044560881001</v>
      </c>
      <c r="Q144" t="s">
        <v>268</v>
      </c>
      <c r="R144">
        <v>-2</v>
      </c>
      <c r="S144" s="1">
        <v>0</v>
      </c>
      <c r="T144" s="1">
        <v>30.032350000000001</v>
      </c>
      <c r="U144" s="1">
        <v>8.7729719999999993</v>
      </c>
      <c r="V144" s="1">
        <v>-3.9881329999999999</v>
      </c>
      <c r="W144" s="1">
        <v>0.78831300000000004</v>
      </c>
      <c r="X144" s="1">
        <v>-0.74159900000000001</v>
      </c>
      <c r="Y144" s="1">
        <f t="shared" ref="Y144:Y146" si="36">1000+273</f>
        <v>1273</v>
      </c>
      <c r="Z144" s="1">
        <v>299</v>
      </c>
      <c r="AA144">
        <f t="shared" ref="AA144:AA146" si="37">(T144*(Y144-Z144)+U144/2000*(Y144^2-Z144^2)+V144/(3*10^6)*(Y144^3-Z144^3)+W144/(4*10^9)*(Y144^4-Z144^4)-(10^6*X144)*(1/Z144-1/Y144))/1000</f>
        <v>35.674577246877661</v>
      </c>
    </row>
    <row r="145" spans="6:30" x14ac:dyDescent="0.2">
      <c r="Q145" t="s">
        <v>56</v>
      </c>
      <c r="R145">
        <v>1</v>
      </c>
      <c r="S145" s="1">
        <v>-393.5</v>
      </c>
      <c r="T145" s="1">
        <v>24.997350000000001</v>
      </c>
      <c r="U145" s="1">
        <v>55.186959999999999</v>
      </c>
      <c r="V145" s="1">
        <v>-33.691369999999999</v>
      </c>
      <c r="W145" s="1">
        <v>7.9483870000000003</v>
      </c>
      <c r="X145" s="1">
        <v>-0.13663800000000001</v>
      </c>
      <c r="Y145" s="1">
        <f t="shared" si="36"/>
        <v>1273</v>
      </c>
      <c r="Z145" s="1">
        <v>300</v>
      </c>
      <c r="AA145">
        <f t="shared" si="37"/>
        <v>49.240953044402133</v>
      </c>
    </row>
    <row r="146" spans="6:30" x14ac:dyDescent="0.2">
      <c r="G146" s="1"/>
      <c r="H146" s="1"/>
      <c r="I146" s="1"/>
      <c r="J146" s="1"/>
      <c r="K146" s="1"/>
      <c r="L146" s="1"/>
      <c r="M146" s="1"/>
      <c r="Q146" t="s">
        <v>54</v>
      </c>
      <c r="R146">
        <v>2</v>
      </c>
      <c r="S146" s="1">
        <v>-241.8</v>
      </c>
      <c r="T146" s="1">
        <v>30.091999999999999</v>
      </c>
      <c r="U146" s="1">
        <v>6.8325139999999998</v>
      </c>
      <c r="V146" s="1">
        <v>6.7934349999999997</v>
      </c>
      <c r="W146" s="1">
        <v>-2.5344799999999998</v>
      </c>
      <c r="X146" s="1">
        <v>8.2139000000000004E-2</v>
      </c>
      <c r="Y146" s="1">
        <f t="shared" si="36"/>
        <v>1273</v>
      </c>
      <c r="Z146" s="1">
        <v>301</v>
      </c>
      <c r="AA146">
        <f t="shared" si="37"/>
        <v>37.21864440814678</v>
      </c>
    </row>
    <row r="147" spans="6:30" x14ac:dyDescent="0.2">
      <c r="S147">
        <f>SUMPRODUCT(R143:R146,S143:S146)</f>
        <v>-802.5</v>
      </c>
      <c r="AA147">
        <f>SUMPRODUCT(R143:R146,AA143:AA146)</f>
        <v>-3.2930334119380262</v>
      </c>
      <c r="AC147">
        <f>SUM(S147,AA147)</f>
        <v>-805.79303341193804</v>
      </c>
      <c r="AD147" t="s">
        <v>112</v>
      </c>
    </row>
    <row r="148" spans="6:30" x14ac:dyDescent="0.2">
      <c r="F148" s="14" t="s">
        <v>147</v>
      </c>
    </row>
    <row r="149" spans="6:30" x14ac:dyDescent="0.2">
      <c r="F149" s="2" t="s">
        <v>118</v>
      </c>
      <c r="K149" s="2"/>
      <c r="L149" s="2"/>
      <c r="M149" s="2"/>
    </row>
    <row r="150" spans="6:30" x14ac:dyDescent="0.2">
      <c r="F150" s="21" t="s">
        <v>150</v>
      </c>
      <c r="I150" t="s">
        <v>18</v>
      </c>
      <c r="J150" t="s">
        <v>55</v>
      </c>
      <c r="K150" t="s">
        <v>56</v>
      </c>
      <c r="L150" t="s">
        <v>44</v>
      </c>
      <c r="M150" t="s">
        <v>54</v>
      </c>
    </row>
    <row r="151" spans="6:30" x14ac:dyDescent="0.2">
      <c r="H151" t="s">
        <v>47</v>
      </c>
      <c r="I151" s="1">
        <v>33.066178000000001</v>
      </c>
      <c r="J151" s="1">
        <v>19.50583</v>
      </c>
      <c r="K151" s="1">
        <v>24.997350000000001</v>
      </c>
      <c r="L151" s="1">
        <v>-0.70302900000000002</v>
      </c>
      <c r="M151" s="1">
        <v>30.091999999999999</v>
      </c>
    </row>
    <row r="152" spans="6:30" x14ac:dyDescent="0.2">
      <c r="H152" t="s">
        <v>48</v>
      </c>
      <c r="I152" s="1">
        <v>-11.363417</v>
      </c>
      <c r="J152" s="1">
        <v>19.887049999999999</v>
      </c>
      <c r="K152" s="1">
        <v>55.186959999999999</v>
      </c>
      <c r="L152" s="1">
        <v>108.4773</v>
      </c>
      <c r="M152" s="1">
        <v>6.8325139999999998</v>
      </c>
    </row>
    <row r="153" spans="6:30" x14ac:dyDescent="0.2">
      <c r="H153" t="s">
        <v>49</v>
      </c>
      <c r="I153" s="1">
        <v>11.432816000000001</v>
      </c>
      <c r="J153" s="1">
        <v>-8.598535</v>
      </c>
      <c r="K153" s="1">
        <v>-33.691369999999999</v>
      </c>
      <c r="L153" s="1">
        <v>-42.521569999999997</v>
      </c>
      <c r="M153" s="1">
        <v>6.7934349999999997</v>
      </c>
    </row>
    <row r="154" spans="6:30" x14ac:dyDescent="0.2">
      <c r="H154" t="s">
        <v>33</v>
      </c>
      <c r="I154" s="1">
        <v>-2.7728739999999998</v>
      </c>
      <c r="J154" s="1">
        <v>1.3697839999999999</v>
      </c>
      <c r="K154" s="1">
        <v>7.9483870000000003</v>
      </c>
      <c r="L154" s="1">
        <v>5.8627880000000001</v>
      </c>
      <c r="M154" s="1">
        <v>-2.5344799999999998</v>
      </c>
    </row>
    <row r="155" spans="6:30" x14ac:dyDescent="0.2">
      <c r="H155" t="s">
        <v>50</v>
      </c>
      <c r="I155" s="1">
        <v>-0.158558</v>
      </c>
      <c r="J155" s="1">
        <v>0.52760099999999999</v>
      </c>
      <c r="K155" s="1">
        <v>-0.13663800000000001</v>
      </c>
      <c r="L155" s="1">
        <v>0.67856499999999997</v>
      </c>
      <c r="M155" s="1">
        <v>8.2139000000000004E-2</v>
      </c>
    </row>
    <row r="156" spans="6:30" x14ac:dyDescent="0.2">
      <c r="H156" t="s">
        <v>142</v>
      </c>
      <c r="I156" s="1">
        <v>298</v>
      </c>
      <c r="J156" s="1">
        <v>500</v>
      </c>
      <c r="K156" s="1">
        <v>298</v>
      </c>
      <c r="L156" s="1">
        <v>298</v>
      </c>
      <c r="M156" s="1">
        <v>500</v>
      </c>
    </row>
    <row r="157" spans="6:30" x14ac:dyDescent="0.2">
      <c r="H157" t="s">
        <v>141</v>
      </c>
      <c r="I157" s="20">
        <v>1000</v>
      </c>
      <c r="J157" s="1">
        <v>2000</v>
      </c>
      <c r="K157" s="1">
        <v>1200</v>
      </c>
      <c r="L157" s="1">
        <v>1300</v>
      </c>
      <c r="M157" s="1">
        <v>1700</v>
      </c>
    </row>
    <row r="158" spans="6:30" x14ac:dyDescent="0.2">
      <c r="F158" t="s">
        <v>51</v>
      </c>
      <c r="G158" t="s">
        <v>52</v>
      </c>
      <c r="H158" t="s">
        <v>53</v>
      </c>
      <c r="I158" t="s">
        <v>43</v>
      </c>
    </row>
    <row r="159" spans="6:30" x14ac:dyDescent="0.2">
      <c r="F159">
        <v>298</v>
      </c>
      <c r="G159">
        <f t="shared" ref="G159:G222" si="38">F159/1000</f>
        <v>0.29799999999999999</v>
      </c>
      <c r="H159">
        <f>F159-273</f>
        <v>25</v>
      </c>
      <c r="I159" s="17">
        <f t="shared" ref="I159:M168" si="39">(I$151+I$152*$G159+I$153*($G159^2)+I$154*($G159^3)+I$155/($G159^2))/1000</f>
        <v>2.8836296683943292E-2</v>
      </c>
      <c r="J159" s="17">
        <f t="shared" si="39"/>
        <v>3.0646021084517201E-2</v>
      </c>
      <c r="K159" s="17">
        <f t="shared" si="39"/>
        <v>3.7122831621349162E-2</v>
      </c>
      <c r="L159" s="17">
        <f t="shared" si="39"/>
        <v>3.5643424878976322E-2</v>
      </c>
      <c r="M159" s="17">
        <f t="shared" si="39"/>
        <v>3.3589249003543944E-2</v>
      </c>
    </row>
    <row r="160" spans="6:30" x14ac:dyDescent="0.2">
      <c r="F160">
        <v>774</v>
      </c>
      <c r="G160">
        <f t="shared" si="38"/>
        <v>0.77400000000000002</v>
      </c>
      <c r="H160">
        <f>F160-273</f>
        <v>501</v>
      </c>
      <c r="I160" s="17">
        <f t="shared" si="39"/>
        <v>2.9569608400791592E-2</v>
      </c>
      <c r="J160" s="17">
        <f t="shared" si="39"/>
        <v>3.1263070063845412E-2</v>
      </c>
      <c r="K160" s="17">
        <f t="shared" si="39"/>
        <v>5.0985831047941417E-2</v>
      </c>
      <c r="L160" s="17">
        <f t="shared" si="39"/>
        <v>6.163592095572077E-2</v>
      </c>
      <c r="M160" s="17">
        <f t="shared" si="39"/>
        <v>3.8412059271263982E-2</v>
      </c>
    </row>
    <row r="161" spans="6:13" x14ac:dyDescent="0.2">
      <c r="F161">
        <v>775</v>
      </c>
      <c r="G161">
        <f t="shared" si="38"/>
        <v>0.77500000000000002</v>
      </c>
      <c r="H161">
        <f t="shared" ref="H161:H224" si="40">F161-273</f>
        <v>502</v>
      </c>
      <c r="I161" s="17">
        <f t="shared" si="39"/>
        <v>2.9571647068682785E-2</v>
      </c>
      <c r="J161" s="17">
        <f t="shared" si="39"/>
        <v>3.1269831693938342E-2</v>
      </c>
      <c r="K161" s="17">
        <f t="shared" si="39"/>
        <v>5.1003721820607389E-2</v>
      </c>
      <c r="L161" s="17">
        <f t="shared" si="39"/>
        <v>6.1686161554991341E-2</v>
      </c>
      <c r="M161" s="17">
        <f t="shared" si="39"/>
        <v>3.8424500287417403E-2</v>
      </c>
    </row>
    <row r="162" spans="6:13" x14ac:dyDescent="0.2">
      <c r="F162">
        <v>776</v>
      </c>
      <c r="G162">
        <f t="shared" si="38"/>
        <v>0.77600000000000002</v>
      </c>
      <c r="H162">
        <f t="shared" si="40"/>
        <v>503</v>
      </c>
      <c r="I162" s="17">
        <f t="shared" si="39"/>
        <v>2.9573693071198132E-2</v>
      </c>
      <c r="J162" s="17">
        <f t="shared" si="39"/>
        <v>3.1276591271540324E-2</v>
      </c>
      <c r="K162" s="17">
        <f t="shared" si="39"/>
        <v>5.102157989796359E-2</v>
      </c>
      <c r="L162" s="17">
        <f t="shared" si="39"/>
        <v>6.173635565900959E-2</v>
      </c>
      <c r="M162" s="17">
        <f t="shared" si="39"/>
        <v>3.843694447124834E-2</v>
      </c>
    </row>
    <row r="163" spans="6:13" x14ac:dyDescent="0.2">
      <c r="F163">
        <v>777</v>
      </c>
      <c r="G163">
        <f t="shared" si="38"/>
        <v>0.77700000000000002</v>
      </c>
      <c r="H163">
        <f t="shared" si="40"/>
        <v>504</v>
      </c>
      <c r="I163" s="17">
        <f t="shared" si="39"/>
        <v>2.9575746405267663E-2</v>
      </c>
      <c r="J163" s="17">
        <f t="shared" si="39"/>
        <v>3.1283348759724973E-2</v>
      </c>
      <c r="K163" s="17">
        <f t="shared" si="39"/>
        <v>5.1039405339392004E-2</v>
      </c>
      <c r="L163" s="17">
        <f t="shared" si="39"/>
        <v>6.1786503244889636E-2</v>
      </c>
      <c r="M163" s="17">
        <f t="shared" si="39"/>
        <v>3.8449391800521551E-2</v>
      </c>
    </row>
    <row r="164" spans="6:13" x14ac:dyDescent="0.2">
      <c r="F164">
        <v>778</v>
      </c>
      <c r="G164">
        <f t="shared" si="38"/>
        <v>0.77800000000000002</v>
      </c>
      <c r="H164">
        <f t="shared" si="40"/>
        <v>505</v>
      </c>
      <c r="I164" s="17">
        <f t="shared" si="39"/>
        <v>2.9577807067734288E-2</v>
      </c>
      <c r="J164" s="17">
        <f t="shared" si="39"/>
        <v>3.1290104121855851E-2</v>
      </c>
      <c r="K164" s="17">
        <f t="shared" si="39"/>
        <v>5.105719820419951E-2</v>
      </c>
      <c r="L164" s="17">
        <f t="shared" si="39"/>
        <v>6.183660429011853E-2</v>
      </c>
      <c r="M164" s="17">
        <f t="shared" si="39"/>
        <v>3.8461842253046948E-2</v>
      </c>
    </row>
    <row r="165" spans="6:13" x14ac:dyDescent="0.2">
      <c r="F165">
        <v>779</v>
      </c>
      <c r="G165">
        <f t="shared" si="38"/>
        <v>0.77900000000000003</v>
      </c>
      <c r="H165">
        <f t="shared" si="40"/>
        <v>506</v>
      </c>
      <c r="I165" s="17">
        <f t="shared" si="39"/>
        <v>2.9579875055354463E-2</v>
      </c>
      <c r="J165" s="17">
        <f t="shared" si="39"/>
        <v>3.1296857321584229E-2</v>
      </c>
      <c r="K165" s="17">
        <f t="shared" si="39"/>
        <v>5.1074958551618505E-2</v>
      </c>
      <c r="L165" s="17">
        <f t="shared" si="39"/>
        <v>6.1886658772553386E-2</v>
      </c>
      <c r="M165" s="17">
        <f t="shared" si="39"/>
        <v>3.8474295806679194E-2</v>
      </c>
    </row>
    <row r="166" spans="6:13" x14ac:dyDescent="0.2">
      <c r="F166">
        <v>780</v>
      </c>
      <c r="G166">
        <f t="shared" si="38"/>
        <v>0.78</v>
      </c>
      <c r="H166">
        <f t="shared" si="40"/>
        <v>507</v>
      </c>
      <c r="I166" s="17">
        <f t="shared" si="39"/>
        <v>2.9581950364798815E-2</v>
      </c>
      <c r="J166" s="17">
        <f t="shared" si="39"/>
        <v>3.1303608322846892E-2</v>
      </c>
      <c r="K166" s="17">
        <f t="shared" si="39"/>
        <v>5.109268644080743E-2</v>
      </c>
      <c r="L166" s="17">
        <f t="shared" si="39"/>
        <v>6.1936666670418472E-2</v>
      </c>
      <c r="M166" s="17">
        <f t="shared" si="39"/>
        <v>3.848675243931745E-2</v>
      </c>
    </row>
    <row r="167" spans="6:13" x14ac:dyDescent="0.2">
      <c r="F167">
        <v>781</v>
      </c>
      <c r="G167">
        <f t="shared" si="38"/>
        <v>0.78100000000000003</v>
      </c>
      <c r="H167">
        <f t="shared" si="40"/>
        <v>508</v>
      </c>
      <c r="I167" s="17">
        <f t="shared" si="39"/>
        <v>2.9584032992652842E-2</v>
      </c>
      <c r="J167" s="17">
        <f t="shared" si="39"/>
        <v>3.131035708986394E-2</v>
      </c>
      <c r="K167" s="17">
        <f t="shared" si="39"/>
        <v>5.1110381930851372E-2</v>
      </c>
      <c r="L167" s="17">
        <f t="shared" si="39"/>
        <v>6.1986627962302476E-2</v>
      </c>
      <c r="M167" s="17">
        <f t="shared" si="39"/>
        <v>3.849921212890494E-2</v>
      </c>
    </row>
    <row r="168" spans="6:13" x14ac:dyDescent="0.2">
      <c r="F168">
        <v>782</v>
      </c>
      <c r="G168">
        <f t="shared" si="38"/>
        <v>0.78200000000000003</v>
      </c>
      <c r="H168">
        <f t="shared" si="40"/>
        <v>509</v>
      </c>
      <c r="I168" s="17">
        <f t="shared" si="39"/>
        <v>2.9586122935417552E-2</v>
      </c>
      <c r="J168" s="17">
        <f t="shared" si="39"/>
        <v>3.1317103587136609E-2</v>
      </c>
      <c r="K168" s="17">
        <f t="shared" si="39"/>
        <v>5.1128045080762567E-2</v>
      </c>
      <c r="L168" s="17">
        <f t="shared" si="39"/>
        <v>6.2036542627155647E-2</v>
      </c>
      <c r="M168" s="17">
        <f t="shared" si="39"/>
        <v>3.8511674853428685E-2</v>
      </c>
    </row>
    <row r="169" spans="6:13" x14ac:dyDescent="0.2">
      <c r="F169">
        <v>783</v>
      </c>
      <c r="G169">
        <f t="shared" si="38"/>
        <v>0.78300000000000003</v>
      </c>
      <c r="H169">
        <f t="shared" si="40"/>
        <v>510</v>
      </c>
      <c r="I169" s="17">
        <f t="shared" ref="I169:M178" si="41">(I$151+I$152*$G169+I$153*($G169^2)+I$154*($G169^3)+I$155/($G169^2))/1000</f>
        <v>2.9588220189510114E-2</v>
      </c>
      <c r="J169" s="17">
        <f t="shared" si="41"/>
        <v>3.1323847779445128E-2</v>
      </c>
      <c r="K169" s="17">
        <f t="shared" si="41"/>
        <v>5.1145675949481058E-2</v>
      </c>
      <c r="L169" s="17">
        <f t="shared" si="41"/>
        <v>6.2086410644287056E-2</v>
      </c>
      <c r="M169" s="17">
        <f t="shared" si="41"/>
        <v>3.8524140590919138E-2</v>
      </c>
    </row>
    <row r="170" spans="6:13" x14ac:dyDescent="0.2">
      <c r="F170">
        <v>784</v>
      </c>
      <c r="G170">
        <f t="shared" si="38"/>
        <v>0.78400000000000003</v>
      </c>
      <c r="H170">
        <f t="shared" si="40"/>
        <v>511</v>
      </c>
      <c r="I170" s="17">
        <f t="shared" si="41"/>
        <v>2.9590324751264482E-2</v>
      </c>
      <c r="J170" s="17">
        <f t="shared" si="41"/>
        <v>3.1330589631846574E-2</v>
      </c>
      <c r="K170" s="17">
        <f t="shared" si="41"/>
        <v>5.1163274595875136E-2</v>
      </c>
      <c r="L170" s="17">
        <f t="shared" si="41"/>
        <v>6.2136231993361865E-2</v>
      </c>
      <c r="M170" s="17">
        <f t="shared" si="41"/>
        <v>3.8536609319449848E-2</v>
      </c>
    </row>
    <row r="171" spans="6:13" x14ac:dyDescent="0.2">
      <c r="F171">
        <v>785</v>
      </c>
      <c r="G171">
        <f t="shared" si="38"/>
        <v>0.78500000000000003</v>
      </c>
      <c r="H171">
        <f t="shared" si="40"/>
        <v>512</v>
      </c>
      <c r="I171" s="17">
        <f t="shared" si="41"/>
        <v>2.959243661693205E-2</v>
      </c>
      <c r="J171" s="17">
        <f t="shared" si="41"/>
        <v>3.1337329109672761E-2</v>
      </c>
      <c r="K171" s="17">
        <f t="shared" si="41"/>
        <v>5.1180841078741948E-2</v>
      </c>
      <c r="L171" s="17">
        <f t="shared" si="41"/>
        <v>6.2186006654398523E-2</v>
      </c>
      <c r="M171" s="17">
        <f t="shared" si="41"/>
        <v>3.854908101713711E-2</v>
      </c>
    </row>
    <row r="172" spans="6:13" x14ac:dyDescent="0.2">
      <c r="F172">
        <v>786</v>
      </c>
      <c r="G172">
        <f t="shared" si="38"/>
        <v>0.78600000000000003</v>
      </c>
      <c r="H172">
        <f t="shared" si="40"/>
        <v>513</v>
      </c>
      <c r="I172" s="17">
        <f t="shared" si="41"/>
        <v>2.9594555782682278E-2</v>
      </c>
      <c r="J172" s="17">
        <f t="shared" si="41"/>
        <v>3.1344066178528147E-2</v>
      </c>
      <c r="K172" s="17">
        <f t="shared" si="41"/>
        <v>5.1198375456808075E-2</v>
      </c>
      <c r="L172" s="17">
        <f t="shared" si="41"/>
        <v>6.2235734607766234E-2</v>
      </c>
      <c r="M172" s="17">
        <f t="shared" si="41"/>
        <v>3.8561555662139722E-2</v>
      </c>
    </row>
    <row r="173" spans="6:13" x14ac:dyDescent="0.2">
      <c r="F173">
        <v>787</v>
      </c>
      <c r="G173">
        <f t="shared" si="38"/>
        <v>0.78700000000000003</v>
      </c>
      <c r="H173">
        <f t="shared" si="40"/>
        <v>514</v>
      </c>
      <c r="I173" s="17">
        <f t="shared" si="41"/>
        <v>2.9596682244603319E-2</v>
      </c>
      <c r="J173" s="17">
        <f t="shared" si="41"/>
        <v>3.135080080428778E-2</v>
      </c>
      <c r="K173" s="17">
        <f t="shared" si="41"/>
        <v>5.1215877788729949E-2</v>
      </c>
      <c r="L173" s="17">
        <f t="shared" si="41"/>
        <v>6.2285415834182116E-2</v>
      </c>
      <c r="M173" s="17">
        <f t="shared" si="41"/>
        <v>3.857403323265856E-2</v>
      </c>
    </row>
    <row r="174" spans="6:13" x14ac:dyDescent="0.2">
      <c r="F174">
        <v>788</v>
      </c>
      <c r="G174">
        <f t="shared" si="38"/>
        <v>0.78800000000000003</v>
      </c>
      <c r="H174">
        <f t="shared" si="40"/>
        <v>515</v>
      </c>
      <c r="I174" s="17">
        <f t="shared" si="41"/>
        <v>2.9598815998702611E-2</v>
      </c>
      <c r="J174" s="17">
        <f t="shared" si="41"/>
        <v>3.1357532953095187E-2</v>
      </c>
      <c r="K174" s="17">
        <f t="shared" si="41"/>
        <v>5.1233348133094568E-2</v>
      </c>
      <c r="L174" s="17">
        <f t="shared" si="41"/>
        <v>6.2335050314708623E-2</v>
      </c>
      <c r="M174" s="17">
        <f t="shared" si="41"/>
        <v>3.8586513706936325E-2</v>
      </c>
    </row>
    <row r="175" spans="6:13" x14ac:dyDescent="0.2">
      <c r="F175">
        <v>789</v>
      </c>
      <c r="G175">
        <f t="shared" si="38"/>
        <v>0.78900000000000003</v>
      </c>
      <c r="H175">
        <f t="shared" si="40"/>
        <v>516</v>
      </c>
      <c r="I175" s="17">
        <f t="shared" si="41"/>
        <v>2.9600957040907538E-2</v>
      </c>
      <c r="J175" s="17">
        <f t="shared" si="41"/>
        <v>3.1364262591360374E-2</v>
      </c>
      <c r="K175" s="17">
        <f t="shared" si="41"/>
        <v>5.1250786548419809E-2</v>
      </c>
      <c r="L175" s="17">
        <f t="shared" si="41"/>
        <v>6.2384638030750943E-2</v>
      </c>
      <c r="M175" s="17">
        <f t="shared" si="41"/>
        <v>3.8598997063257173E-2</v>
      </c>
    </row>
    <row r="176" spans="6:13" x14ac:dyDescent="0.2">
      <c r="F176">
        <v>790</v>
      </c>
      <c r="G176">
        <f t="shared" si="38"/>
        <v>0.79</v>
      </c>
      <c r="H176">
        <f t="shared" si="40"/>
        <v>517</v>
      </c>
      <c r="I176" s="17">
        <f t="shared" si="41"/>
        <v>2.9603105367065993E-2</v>
      </c>
      <c r="J176" s="17">
        <f t="shared" si="41"/>
        <v>3.1370989685757779E-2</v>
      </c>
      <c r="K176" s="17">
        <f t="shared" si="41"/>
        <v>5.1268193093155161E-2</v>
      </c>
      <c r="L176" s="17">
        <f t="shared" si="41"/>
        <v>6.2434178964054392E-2</v>
      </c>
      <c r="M176" s="17">
        <f t="shared" si="41"/>
        <v>3.8611483279946485E-2</v>
      </c>
    </row>
    <row r="177" spans="6:13" x14ac:dyDescent="0.2">
      <c r="F177">
        <v>791</v>
      </c>
      <c r="G177">
        <f t="shared" si="38"/>
        <v>0.79100000000000004</v>
      </c>
      <c r="H177">
        <f t="shared" si="40"/>
        <v>518</v>
      </c>
      <c r="I177" s="17">
        <f t="shared" si="41"/>
        <v>2.9605260972947009E-2</v>
      </c>
      <c r="J177" s="17">
        <f t="shared" si="41"/>
        <v>3.1377714203224299E-2</v>
      </c>
      <c r="K177" s="17">
        <f t="shared" si="41"/>
        <v>5.1285567825682089E-2</v>
      </c>
      <c r="L177" s="17">
        <f t="shared" si="41"/>
        <v>6.2483673096701782E-2</v>
      </c>
      <c r="M177" s="17">
        <f t="shared" si="41"/>
        <v>3.8623972335370432E-2</v>
      </c>
    </row>
    <row r="178" spans="6:13" x14ac:dyDescent="0.2">
      <c r="F178">
        <v>792</v>
      </c>
      <c r="G178">
        <f t="shared" si="38"/>
        <v>0.79200000000000004</v>
      </c>
      <c r="H178">
        <f t="shared" si="40"/>
        <v>519</v>
      </c>
      <c r="I178" s="17">
        <f t="shared" si="41"/>
        <v>2.9607423854241342E-2</v>
      </c>
      <c r="J178" s="17">
        <f t="shared" si="41"/>
        <v>3.1384436110957287E-2</v>
      </c>
      <c r="K178" s="17">
        <f t="shared" si="41"/>
        <v>5.1302910804314601E-2</v>
      </c>
      <c r="L178" s="17">
        <f t="shared" si="41"/>
        <v>6.2533120411110893E-2</v>
      </c>
      <c r="M178" s="17">
        <f t="shared" si="41"/>
        <v>3.8636464207935796E-2</v>
      </c>
    </row>
    <row r="179" spans="6:13" x14ac:dyDescent="0.2">
      <c r="F179">
        <v>793</v>
      </c>
      <c r="G179">
        <f t="shared" si="38"/>
        <v>0.79300000000000004</v>
      </c>
      <c r="H179">
        <f t="shared" si="40"/>
        <v>520</v>
      </c>
      <c r="I179" s="17">
        <f t="shared" ref="I179:M188" si="42">(I$151+I$152*$G179+I$153*($G179^2)+I$154*($G179^3)+I$155/($G179^2))/1000</f>
        <v>2.9609594006562066E-2</v>
      </c>
      <c r="J179" s="17">
        <f t="shared" si="42"/>
        <v>3.1391155376412537E-2</v>
      </c>
      <c r="K179" s="17">
        <f t="shared" si="42"/>
        <v>5.1320222087299791E-2</v>
      </c>
      <c r="L179" s="17">
        <f t="shared" si="42"/>
        <v>6.2582520890032009E-2</v>
      </c>
      <c r="M179" s="17">
        <f t="shared" si="42"/>
        <v>3.8648958876089531E-2</v>
      </c>
    </row>
    <row r="180" spans="6:13" x14ac:dyDescent="0.2">
      <c r="F180">
        <v>794</v>
      </c>
      <c r="G180">
        <f t="shared" si="38"/>
        <v>0.79400000000000004</v>
      </c>
      <c r="H180">
        <f t="shared" si="40"/>
        <v>521</v>
      </c>
      <c r="I180" s="17">
        <f t="shared" si="42"/>
        <v>2.9611771425445157E-2</v>
      </c>
      <c r="J180" s="17">
        <f t="shared" si="42"/>
        <v>3.1397871967302433E-2</v>
      </c>
      <c r="K180" s="17">
        <f t="shared" si="42"/>
        <v>5.1337501732818321E-2</v>
      </c>
      <c r="L180" s="17">
        <f t="shared" si="42"/>
        <v>6.2631874516545311E-2</v>
      </c>
      <c r="M180" s="17">
        <f t="shared" si="42"/>
        <v>3.8661456318318604E-2</v>
      </c>
    </row>
    <row r="181" spans="6:13" x14ac:dyDescent="0.2">
      <c r="F181">
        <v>795</v>
      </c>
      <c r="G181">
        <f t="shared" si="38"/>
        <v>0.79500000000000004</v>
      </c>
      <c r="H181">
        <f t="shared" si="40"/>
        <v>522</v>
      </c>
      <c r="I181" s="17">
        <f t="shared" si="42"/>
        <v>2.9613956106350092E-2</v>
      </c>
      <c r="J181" s="17">
        <f t="shared" si="42"/>
        <v>3.1404585851593919E-2</v>
      </c>
      <c r="K181" s="17">
        <f t="shared" si="42"/>
        <v>5.135474979898489E-2</v>
      </c>
      <c r="L181" s="17">
        <f t="shared" si="42"/>
        <v>6.2681181274058403E-2</v>
      </c>
      <c r="M181" s="17">
        <f t="shared" si="42"/>
        <v>3.8673956513149581E-2</v>
      </c>
    </row>
    <row r="182" spans="6:13" x14ac:dyDescent="0.2">
      <c r="F182">
        <v>796</v>
      </c>
      <c r="G182">
        <f t="shared" si="38"/>
        <v>0.79600000000000004</v>
      </c>
      <c r="H182">
        <f t="shared" si="40"/>
        <v>523</v>
      </c>
      <c r="I182" s="17">
        <f t="shared" si="42"/>
        <v>2.9616148044660395E-2</v>
      </c>
      <c r="J182" s="17">
        <f t="shared" si="42"/>
        <v>3.1411296997506617E-2</v>
      </c>
      <c r="K182" s="17">
        <f t="shared" si="42"/>
        <v>5.137196634384876E-2</v>
      </c>
      <c r="L182" s="17">
        <f t="shared" si="42"/>
        <v>6.2730441146303911E-2</v>
      </c>
      <c r="M182" s="17">
        <f t="shared" si="42"/>
        <v>3.8686459439148363E-2</v>
      </c>
    </row>
    <row r="183" spans="6:13" x14ac:dyDescent="0.2">
      <c r="F183">
        <v>797</v>
      </c>
      <c r="G183">
        <f t="shared" si="38"/>
        <v>0.79700000000000004</v>
      </c>
      <c r="H183">
        <f t="shared" si="40"/>
        <v>524</v>
      </c>
      <c r="I183" s="17">
        <f t="shared" si="42"/>
        <v>2.9618347235684236E-2</v>
      </c>
      <c r="J183" s="17">
        <f t="shared" si="42"/>
        <v>3.141800537351095E-2</v>
      </c>
      <c r="K183" s="17">
        <f t="shared" si="42"/>
        <v>5.1389151425394283E-2</v>
      </c>
      <c r="L183" s="17">
        <f t="shared" si="42"/>
        <v>6.2779654117336964E-2</v>
      </c>
      <c r="M183" s="17">
        <f t="shared" si="42"/>
        <v>3.8698965074919905E-2</v>
      </c>
    </row>
    <row r="184" spans="6:13" x14ac:dyDescent="0.2">
      <c r="F184">
        <v>798</v>
      </c>
      <c r="G184">
        <f t="shared" si="38"/>
        <v>0.79800000000000004</v>
      </c>
      <c r="H184">
        <f t="shared" si="40"/>
        <v>525</v>
      </c>
      <c r="I184" s="17">
        <f t="shared" si="42"/>
        <v>2.9620553674654972E-2</v>
      </c>
      <c r="J184" s="17">
        <f t="shared" si="42"/>
        <v>3.1424710948326204E-2</v>
      </c>
      <c r="K184" s="17">
        <f t="shared" si="42"/>
        <v>5.1406305101541323E-2</v>
      </c>
      <c r="L184" s="17">
        <f t="shared" si="42"/>
        <v>6.2828820171532809E-2</v>
      </c>
      <c r="M184" s="17">
        <f t="shared" si="42"/>
        <v>3.8711473399107882E-2</v>
      </c>
    </row>
    <row r="185" spans="6:13" x14ac:dyDescent="0.2">
      <c r="F185">
        <v>799</v>
      </c>
      <c r="G185">
        <f t="shared" si="38"/>
        <v>0.79900000000000004</v>
      </c>
      <c r="H185">
        <f t="shared" si="40"/>
        <v>526</v>
      </c>
      <c r="I185" s="17">
        <f t="shared" si="42"/>
        <v>2.9622767356731746E-2</v>
      </c>
      <c r="J185" s="17">
        <f t="shared" si="42"/>
        <v>3.1431413690918723E-2</v>
      </c>
      <c r="K185" s="17">
        <f t="shared" si="42"/>
        <v>5.1423427430145753E-2</v>
      </c>
      <c r="L185" s="17">
        <f t="shared" si="42"/>
        <v>6.2877939293584373E-2</v>
      </c>
      <c r="M185" s="17">
        <f t="shared" si="42"/>
        <v>3.8723984390394484E-2</v>
      </c>
    </row>
    <row r="186" spans="6:13" x14ac:dyDescent="0.2">
      <c r="F186">
        <v>800</v>
      </c>
      <c r="G186">
        <f t="shared" si="38"/>
        <v>0.8</v>
      </c>
      <c r="H186">
        <f t="shared" si="40"/>
        <v>527</v>
      </c>
      <c r="I186" s="17">
        <f t="shared" si="42"/>
        <v>2.9624988277000001E-2</v>
      </c>
      <c r="J186" s="17">
        <f t="shared" si="42"/>
        <v>3.1438113570499998E-2</v>
      </c>
      <c r="K186" s="17">
        <f t="shared" si="42"/>
        <v>5.1440518469000003E-2</v>
      </c>
      <c r="L186" s="17">
        <f t="shared" si="42"/>
        <v>6.2927011468499994E-2</v>
      </c>
      <c r="M186" s="17">
        <f t="shared" si="42"/>
        <v>3.8736498027499996E-2</v>
      </c>
    </row>
    <row r="187" spans="6:13" x14ac:dyDescent="0.2">
      <c r="F187">
        <v>801</v>
      </c>
      <c r="G187">
        <f t="shared" si="38"/>
        <v>0.80100000000000005</v>
      </c>
      <c r="H187">
        <f t="shared" si="40"/>
        <v>528</v>
      </c>
      <c r="I187" s="17">
        <f t="shared" si="42"/>
        <v>2.9627216430472055E-2</v>
      </c>
      <c r="J187" s="17">
        <f t="shared" si="42"/>
        <v>3.1444810556524871E-2</v>
      </c>
      <c r="K187" s="17">
        <f t="shared" si="42"/>
        <v>5.1457578275833429E-2</v>
      </c>
      <c r="L187" s="17">
        <f t="shared" si="42"/>
        <v>6.29760366816009E-2</v>
      </c>
      <c r="M187" s="17">
        <f t="shared" si="42"/>
        <v>3.8749014289182669E-2</v>
      </c>
    </row>
    <row r="188" spans="6:13" x14ac:dyDescent="0.2">
      <c r="F188">
        <v>802</v>
      </c>
      <c r="G188">
        <f t="shared" si="38"/>
        <v>0.80200000000000005</v>
      </c>
      <c r="H188">
        <f t="shared" si="40"/>
        <v>529</v>
      </c>
      <c r="I188" s="17">
        <f t="shared" si="42"/>
        <v>2.9629451812087641E-2</v>
      </c>
      <c r="J188" s="17">
        <f t="shared" si="42"/>
        <v>3.1451504618689709E-2</v>
      </c>
      <c r="K188" s="17">
        <f t="shared" si="42"/>
        <v>5.1474606908312862E-2</v>
      </c>
      <c r="L188" s="17">
        <f t="shared" si="42"/>
        <v>6.3025014918518946E-2</v>
      </c>
      <c r="M188" s="17">
        <f t="shared" si="42"/>
        <v>3.8761533154238276E-2</v>
      </c>
    </row>
    <row r="189" spans="6:13" x14ac:dyDescent="0.2">
      <c r="F189">
        <v>803</v>
      </c>
      <c r="G189">
        <f t="shared" si="38"/>
        <v>0.80300000000000005</v>
      </c>
      <c r="H189">
        <f t="shared" si="40"/>
        <v>530</v>
      </c>
      <c r="I189" s="17">
        <f t="shared" ref="I189:M198" si="43">(I$151+I$152*$G189+I$153*($G189^2)+I$154*($G189^3)+I$155/($G189^2))/1000</f>
        <v>2.9631694416714451E-2</v>
      </c>
      <c r="J189" s="17">
        <f t="shared" si="43"/>
        <v>3.145819572693058E-2</v>
      </c>
      <c r="K189" s="17">
        <f t="shared" si="43"/>
        <v>5.1491604424043082E-2</v>
      </c>
      <c r="L189" s="17">
        <f t="shared" si="43"/>
        <v>6.3073946165194308E-2</v>
      </c>
      <c r="M189" s="17">
        <f t="shared" si="43"/>
        <v>3.8774054601499977E-2</v>
      </c>
    </row>
    <row r="190" spans="6:13" x14ac:dyDescent="0.2">
      <c r="F190">
        <v>804</v>
      </c>
      <c r="G190">
        <f t="shared" si="38"/>
        <v>0.80400000000000005</v>
      </c>
      <c r="H190">
        <f t="shared" si="40"/>
        <v>531</v>
      </c>
      <c r="I190" s="17">
        <f t="shared" si="43"/>
        <v>2.9633944239148689E-2</v>
      </c>
      <c r="J190" s="17">
        <f t="shared" si="43"/>
        <v>3.1464883851421488E-2</v>
      </c>
      <c r="K190" s="17">
        <f t="shared" si="43"/>
        <v>5.1508570880567178E-2</v>
      </c>
      <c r="L190" s="17">
        <f t="shared" si="43"/>
        <v>6.3122830407873198E-2</v>
      </c>
      <c r="M190" s="17">
        <f t="shared" si="43"/>
        <v>3.8786578609837925E-2</v>
      </c>
    </row>
    <row r="191" spans="6:13" x14ac:dyDescent="0.2">
      <c r="F191">
        <v>805</v>
      </c>
      <c r="G191">
        <f t="shared" si="38"/>
        <v>0.80500000000000005</v>
      </c>
      <c r="H191">
        <f t="shared" si="40"/>
        <v>532</v>
      </c>
      <c r="I191" s="17">
        <f t="shared" si="43"/>
        <v>2.9636201274115561E-2</v>
      </c>
      <c r="J191" s="17">
        <f t="shared" si="43"/>
        <v>3.1471568962572596E-2</v>
      </c>
      <c r="K191" s="17">
        <f t="shared" si="43"/>
        <v>5.1525506335367156E-2</v>
      </c>
      <c r="L191" s="17">
        <f t="shared" si="43"/>
        <v>6.3171667633105527E-2</v>
      </c>
      <c r="M191" s="17">
        <f t="shared" si="43"/>
        <v>3.8799105158159063E-2</v>
      </c>
    </row>
    <row r="192" spans="6:13" x14ac:dyDescent="0.2">
      <c r="F192">
        <v>806</v>
      </c>
      <c r="G192">
        <f t="shared" si="38"/>
        <v>0.80600000000000005</v>
      </c>
      <c r="H192">
        <f t="shared" si="40"/>
        <v>533</v>
      </c>
      <c r="I192" s="17">
        <f t="shared" si="43"/>
        <v>2.9638465516269849E-2</v>
      </c>
      <c r="J192" s="17">
        <f t="shared" si="43"/>
        <v>3.1478251031028449E-2</v>
      </c>
      <c r="K192" s="17">
        <f t="shared" si="43"/>
        <v>5.1542410845864257E-2</v>
      </c>
      <c r="L192" s="17">
        <f t="shared" si="43"/>
        <v>6.322045782774266E-2</v>
      </c>
      <c r="M192" s="17">
        <f t="shared" si="43"/>
        <v>3.8811634225406816E-2</v>
      </c>
    </row>
    <row r="193" spans="6:13" x14ac:dyDescent="0.2">
      <c r="F193">
        <v>807</v>
      </c>
      <c r="G193">
        <f t="shared" si="38"/>
        <v>0.80700000000000005</v>
      </c>
      <c r="H193">
        <f t="shared" si="40"/>
        <v>534</v>
      </c>
      <c r="I193" s="17">
        <f t="shared" si="43"/>
        <v>2.9640736960196406E-2</v>
      </c>
      <c r="J193" s="17">
        <f t="shared" si="43"/>
        <v>3.1484930027666273E-2</v>
      </c>
      <c r="K193" s="17">
        <f t="shared" si="43"/>
        <v>5.1559284469419514E-2</v>
      </c>
      <c r="L193" s="17">
        <f t="shared" si="43"/>
        <v>6.3269200978935236E-2</v>
      </c>
      <c r="M193" s="17">
        <f t="shared" si="43"/>
        <v>3.882416579056084E-2</v>
      </c>
    </row>
    <row r="194" spans="6:13" x14ac:dyDescent="0.2">
      <c r="F194">
        <v>808</v>
      </c>
      <c r="G194">
        <f t="shared" si="38"/>
        <v>0.80800000000000005</v>
      </c>
      <c r="H194">
        <f t="shared" si="40"/>
        <v>535</v>
      </c>
      <c r="I194" s="17">
        <f t="shared" si="43"/>
        <v>2.9643015600410702E-2</v>
      </c>
      <c r="J194" s="17">
        <f t="shared" si="43"/>
        <v>3.1491605923594214E-2</v>
      </c>
      <c r="K194" s="17">
        <f t="shared" si="43"/>
        <v>5.1576127263334125E-2</v>
      </c>
      <c r="L194" s="17">
        <f t="shared" si="43"/>
        <v>6.3317897074130838E-2</v>
      </c>
      <c r="M194" s="17">
        <f t="shared" si="43"/>
        <v>3.8836699832636726E-2</v>
      </c>
    </row>
    <row r="195" spans="6:13" x14ac:dyDescent="0.2">
      <c r="F195">
        <v>809</v>
      </c>
      <c r="G195">
        <f t="shared" si="38"/>
        <v>0.80900000000000005</v>
      </c>
      <c r="H195">
        <f t="shared" si="40"/>
        <v>536</v>
      </c>
      <c r="I195" s="17">
        <f t="shared" si="43"/>
        <v>2.9645301431359298E-2</v>
      </c>
      <c r="J195" s="17">
        <f t="shared" si="43"/>
        <v>3.1498278690149629E-2</v>
      </c>
      <c r="K195" s="17">
        <f t="shared" si="43"/>
        <v>5.1592939284849933E-2</v>
      </c>
      <c r="L195" s="17">
        <f t="shared" si="43"/>
        <v>6.3366546101071911E-2</v>
      </c>
      <c r="M195" s="17">
        <f t="shared" si="43"/>
        <v>3.884923633068578E-2</v>
      </c>
    </row>
    <row r="196" spans="6:13" x14ac:dyDescent="0.2">
      <c r="F196">
        <v>810</v>
      </c>
      <c r="G196">
        <f t="shared" si="38"/>
        <v>0.81</v>
      </c>
      <c r="H196">
        <f t="shared" si="40"/>
        <v>537</v>
      </c>
      <c r="I196" s="17">
        <f t="shared" si="43"/>
        <v>2.9647594447420381E-2</v>
      </c>
      <c r="J196" s="17">
        <f t="shared" si="43"/>
        <v>3.1504948298897405E-2</v>
      </c>
      <c r="K196" s="17">
        <f t="shared" si="43"/>
        <v>5.1609720591149849E-2</v>
      </c>
      <c r="L196" s="17">
        <f t="shared" si="43"/>
        <v>6.3415148047793482E-2</v>
      </c>
      <c r="M196" s="17">
        <f t="shared" si="43"/>
        <v>3.8861775263794696E-2</v>
      </c>
    </row>
    <row r="197" spans="6:13" x14ac:dyDescent="0.2">
      <c r="F197">
        <v>811</v>
      </c>
      <c r="G197">
        <f t="shared" si="38"/>
        <v>0.81100000000000005</v>
      </c>
      <c r="H197">
        <f t="shared" si="40"/>
        <v>538</v>
      </c>
      <c r="I197" s="17">
        <f t="shared" si="43"/>
        <v>2.9649894642904285E-2</v>
      </c>
      <c r="J197" s="17">
        <f t="shared" si="43"/>
        <v>3.1511614721628264E-2</v>
      </c>
      <c r="K197" s="17">
        <f t="shared" si="43"/>
        <v>5.1626471239358339E-2</v>
      </c>
      <c r="L197" s="17">
        <f t="shared" si="43"/>
        <v>6.3463702902621072E-2</v>
      </c>
      <c r="M197" s="17">
        <f t="shared" si="43"/>
        <v>3.8874316611085355E-2</v>
      </c>
    </row>
    <row r="198" spans="6:13" x14ac:dyDescent="0.2">
      <c r="F198">
        <v>812</v>
      </c>
      <c r="G198">
        <f t="shared" si="38"/>
        <v>0.81200000000000006</v>
      </c>
      <c r="H198">
        <f t="shared" si="40"/>
        <v>539</v>
      </c>
      <c r="I198" s="17">
        <f t="shared" si="43"/>
        <v>2.9652202012053961E-2</v>
      </c>
      <c r="J198" s="17">
        <f t="shared" si="43"/>
        <v>3.1518277930357122E-2</v>
      </c>
      <c r="K198" s="17">
        <f t="shared" si="43"/>
        <v>5.164319128654174E-2</v>
      </c>
      <c r="L198" s="17">
        <f t="shared" si="43"/>
        <v>6.3512210654168524E-2</v>
      </c>
      <c r="M198" s="17">
        <f t="shared" si="43"/>
        <v>3.8886860351714507E-2</v>
      </c>
    </row>
    <row r="199" spans="6:13" x14ac:dyDescent="0.2">
      <c r="F199">
        <v>813</v>
      </c>
      <c r="G199">
        <f t="shared" si="38"/>
        <v>0.81299999999999994</v>
      </c>
      <c r="H199">
        <f t="shared" si="40"/>
        <v>540</v>
      </c>
      <c r="I199" s="17">
        <f t="shared" ref="I199:M208" si="44">(I$151+I$152*$G199+I$153*($G199^2)+I$154*($G199^3)+I$155/($G199^2))/1000</f>
        <v>2.9654516549045492E-2</v>
      </c>
      <c r="J199" s="17">
        <f t="shared" si="44"/>
        <v>3.1524937897321366E-2</v>
      </c>
      <c r="K199" s="17">
        <f t="shared" si="44"/>
        <v>5.1659880789708831E-2</v>
      </c>
      <c r="L199" s="17">
        <f t="shared" si="44"/>
        <v>6.3560671291335788E-2</v>
      </c>
      <c r="M199" s="17">
        <f t="shared" si="44"/>
        <v>3.8899406464873582E-2</v>
      </c>
    </row>
    <row r="200" spans="6:13" x14ac:dyDescent="0.2">
      <c r="F200">
        <v>814</v>
      </c>
      <c r="G200">
        <f t="shared" si="38"/>
        <v>0.81399999999999995</v>
      </c>
      <c r="H200">
        <f t="shared" si="40"/>
        <v>541</v>
      </c>
      <c r="I200" s="17">
        <f t="shared" si="44"/>
        <v>2.9656838247988579E-2</v>
      </c>
      <c r="J200" s="17">
        <f t="shared" si="44"/>
        <v>3.1531594594979326E-2</v>
      </c>
      <c r="K200" s="17">
        <f t="shared" si="44"/>
        <v>5.1676539805811127E-2</v>
      </c>
      <c r="L200" s="17">
        <f t="shared" si="44"/>
        <v>6.3609084803307001E-2</v>
      </c>
      <c r="M200" s="17">
        <f t="shared" si="44"/>
        <v>3.891195492978837E-2</v>
      </c>
    </row>
    <row r="201" spans="6:13" x14ac:dyDescent="0.2">
      <c r="F201">
        <v>815</v>
      </c>
      <c r="G201">
        <f t="shared" si="38"/>
        <v>0.81499999999999995</v>
      </c>
      <c r="H201">
        <f t="shared" si="40"/>
        <v>542</v>
      </c>
      <c r="I201" s="17">
        <f t="shared" si="44"/>
        <v>2.9659167102927021E-2</v>
      </c>
      <c r="J201" s="17">
        <f t="shared" si="44"/>
        <v>3.153824799600851E-2</v>
      </c>
      <c r="K201" s="17">
        <f t="shared" si="44"/>
        <v>5.1693168391743399E-2</v>
      </c>
      <c r="L201" s="17">
        <f t="shared" si="44"/>
        <v>6.3657451179548255E-2</v>
      </c>
      <c r="M201" s="17">
        <f t="shared" si="44"/>
        <v>3.892450572571881E-2</v>
      </c>
    </row>
    <row r="202" spans="6:13" x14ac:dyDescent="0.2">
      <c r="F202">
        <v>816</v>
      </c>
      <c r="G202">
        <f t="shared" si="38"/>
        <v>0.81599999999999995</v>
      </c>
      <c r="H202">
        <f t="shared" si="40"/>
        <v>543</v>
      </c>
      <c r="I202" s="17">
        <f t="shared" si="44"/>
        <v>2.9661503107839222E-2</v>
      </c>
      <c r="J202" s="17">
        <f t="shared" si="44"/>
        <v>3.1544898073304149E-2</v>
      </c>
      <c r="K202" s="17">
        <f t="shared" si="44"/>
        <v>5.1709766604344072E-2</v>
      </c>
      <c r="L202" s="17">
        <f t="shared" si="44"/>
        <v>6.3705770409805532E-2</v>
      </c>
      <c r="M202" s="17">
        <f t="shared" si="44"/>
        <v>3.8937058831958707E-2</v>
      </c>
    </row>
    <row r="203" spans="6:13" x14ac:dyDescent="0.2">
      <c r="F203">
        <v>817</v>
      </c>
      <c r="G203">
        <f t="shared" si="38"/>
        <v>0.81699999999999995</v>
      </c>
      <c r="H203">
        <f t="shared" si="40"/>
        <v>544</v>
      </c>
      <c r="I203" s="17">
        <f t="shared" si="44"/>
        <v>2.9663846256638669E-2</v>
      </c>
      <c r="J203" s="17">
        <f t="shared" si="44"/>
        <v>3.155154479997746E-2</v>
      </c>
      <c r="K203" s="17">
        <f t="shared" si="44"/>
        <v>5.1726334500395578E-2</v>
      </c>
      <c r="L203" s="17">
        <f t="shared" si="44"/>
        <v>6.3754042484102658E-2</v>
      </c>
      <c r="M203" s="17">
        <f t="shared" si="44"/>
        <v>3.8949614227835536E-2</v>
      </c>
    </row>
    <row r="204" spans="6:13" x14ac:dyDescent="0.2">
      <c r="F204">
        <v>818</v>
      </c>
      <c r="G204">
        <f t="shared" si="38"/>
        <v>0.81799999999999995</v>
      </c>
      <c r="H204">
        <f t="shared" si="40"/>
        <v>545</v>
      </c>
      <c r="I204" s="17">
        <f t="shared" si="44"/>
        <v>2.9666196543174383E-2</v>
      </c>
      <c r="J204" s="17">
        <f t="shared" si="44"/>
        <v>3.1558188149354148E-2</v>
      </c>
      <c r="K204" s="17">
        <f t="shared" si="44"/>
        <v>5.1742872136624804E-2</v>
      </c>
      <c r="L204" s="17">
        <f t="shared" si="44"/>
        <v>6.3802267392739392E-2</v>
      </c>
      <c r="M204" s="17">
        <f t="shared" si="44"/>
        <v>3.8962171892710104E-2</v>
      </c>
    </row>
    <row r="205" spans="6:13" x14ac:dyDescent="0.2">
      <c r="F205">
        <v>819</v>
      </c>
      <c r="G205">
        <f t="shared" si="38"/>
        <v>0.81899999999999995</v>
      </c>
      <c r="H205">
        <f t="shared" si="40"/>
        <v>546</v>
      </c>
      <c r="I205" s="17">
        <f t="shared" si="44"/>
        <v>2.9668553961231393E-2</v>
      </c>
      <c r="J205" s="17">
        <f t="shared" si="44"/>
        <v>3.1564828094972824E-2</v>
      </c>
      <c r="K205" s="17">
        <f t="shared" si="44"/>
        <v>5.1759379569703556E-2</v>
      </c>
      <c r="L205" s="17">
        <f t="shared" si="44"/>
        <v>6.3850445126289179E-2</v>
      </c>
      <c r="M205" s="17">
        <f t="shared" si="44"/>
        <v>3.8974731805976416E-2</v>
      </c>
    </row>
    <row r="206" spans="6:13" x14ac:dyDescent="0.2">
      <c r="F206">
        <v>820</v>
      </c>
      <c r="G206">
        <f t="shared" si="38"/>
        <v>0.82</v>
      </c>
      <c r="H206">
        <f t="shared" si="40"/>
        <v>547</v>
      </c>
      <c r="I206" s="17">
        <f t="shared" si="44"/>
        <v>2.9670918504531234E-2</v>
      </c>
      <c r="J206" s="17">
        <f t="shared" si="44"/>
        <v>3.1571464610583383E-2</v>
      </c>
      <c r="K206" s="17">
        <f t="shared" si="44"/>
        <v>5.1775856856248831E-2</v>
      </c>
      <c r="L206" s="17">
        <f t="shared" si="44"/>
        <v>6.3898575675597327E-2</v>
      </c>
      <c r="M206" s="17">
        <f t="shared" si="44"/>
        <v>3.8987293947061366E-2</v>
      </c>
    </row>
    <row r="207" spans="6:13" x14ac:dyDescent="0.2">
      <c r="F207">
        <v>821</v>
      </c>
      <c r="G207">
        <f t="shared" si="38"/>
        <v>0.82099999999999995</v>
      </c>
      <c r="H207">
        <f t="shared" si="40"/>
        <v>548</v>
      </c>
      <c r="I207" s="17">
        <f t="shared" si="44"/>
        <v>2.96732901667324E-2</v>
      </c>
      <c r="J207" s="17">
        <f t="shared" si="44"/>
        <v>3.157809767014557E-2</v>
      </c>
      <c r="K207" s="17">
        <f t="shared" si="44"/>
        <v>5.1792304052823368E-2</v>
      </c>
      <c r="L207" s="17">
        <f t="shared" si="44"/>
        <v>6.3946659031778957E-2</v>
      </c>
      <c r="M207" s="17">
        <f t="shared" si="44"/>
        <v>3.8999858295424482E-2</v>
      </c>
    </row>
    <row r="208" spans="6:13" x14ac:dyDescent="0.2">
      <c r="F208">
        <v>822</v>
      </c>
      <c r="G208">
        <f t="shared" si="38"/>
        <v>0.82199999999999995</v>
      </c>
      <c r="H208">
        <f t="shared" si="40"/>
        <v>549</v>
      </c>
      <c r="I208" s="17">
        <f t="shared" si="44"/>
        <v>2.9675668941430783E-2</v>
      </c>
      <c r="J208" s="17">
        <f t="shared" si="44"/>
        <v>3.1584727247827356E-2</v>
      </c>
      <c r="K208" s="17">
        <f t="shared" si="44"/>
        <v>5.180872121593591E-2</v>
      </c>
      <c r="L208" s="17">
        <f t="shared" si="44"/>
        <v>6.399469518621706E-2</v>
      </c>
      <c r="M208" s="17">
        <f t="shared" si="44"/>
        <v>3.9012424830557731E-2</v>
      </c>
    </row>
    <row r="209" spans="6:13" x14ac:dyDescent="0.2">
      <c r="F209">
        <v>823</v>
      </c>
      <c r="G209">
        <f t="shared" si="38"/>
        <v>0.82299999999999995</v>
      </c>
      <c r="H209">
        <f t="shared" si="40"/>
        <v>550</v>
      </c>
      <c r="I209" s="17">
        <f t="shared" ref="I209:M218" si="45">(I$151+I$152*$G209+I$153*($G209^2)+I$154*($G209^3)+I$155/($G209^2))/1000</f>
        <v>2.9678054822160141E-2</v>
      </c>
      <c r="J209" s="17">
        <f t="shared" si="45"/>
        <v>3.1591353318003466E-2</v>
      </c>
      <c r="K209" s="17">
        <f t="shared" si="45"/>
        <v>5.1825108402041714E-2</v>
      </c>
      <c r="L209" s="17">
        <f t="shared" si="45"/>
        <v>6.4042684130560495E-2</v>
      </c>
      <c r="M209" s="17">
        <f t="shared" si="45"/>
        <v>3.902499353198529E-2</v>
      </c>
    </row>
    <row r="210" spans="6:13" x14ac:dyDescent="0.2">
      <c r="F210">
        <v>824</v>
      </c>
      <c r="G210">
        <f t="shared" si="38"/>
        <v>0.82399999999999995</v>
      </c>
      <c r="H210">
        <f t="shared" si="40"/>
        <v>551</v>
      </c>
      <c r="I210" s="17">
        <f t="shared" si="45"/>
        <v>2.9680447802392554E-2</v>
      </c>
      <c r="J210" s="17">
        <f t="shared" si="45"/>
        <v>3.1597975855253861E-2</v>
      </c>
      <c r="K210" s="17">
        <f t="shared" si="45"/>
        <v>5.1841465667542851E-2</v>
      </c>
      <c r="L210" s="17">
        <f t="shared" si="45"/>
        <v>6.4090625856722122E-2</v>
      </c>
      <c r="M210" s="17">
        <f t="shared" si="45"/>
        <v>3.903756437926325E-2</v>
      </c>
    </row>
    <row r="211" spans="6:13" x14ac:dyDescent="0.2">
      <c r="F211">
        <v>825</v>
      </c>
      <c r="G211">
        <f t="shared" si="38"/>
        <v>0.82499999999999996</v>
      </c>
      <c r="H211">
        <f t="shared" si="40"/>
        <v>552</v>
      </c>
      <c r="I211" s="17">
        <f t="shared" si="45"/>
        <v>2.9682847875538879E-2</v>
      </c>
      <c r="J211" s="17">
        <f t="shared" si="45"/>
        <v>3.1604594834362253E-2</v>
      </c>
      <c r="K211" s="17">
        <f t="shared" si="45"/>
        <v>5.1857793068788613E-2</v>
      </c>
      <c r="L211" s="17">
        <f t="shared" si="45"/>
        <v>6.4138520356876783E-2</v>
      </c>
      <c r="M211" s="17">
        <f t="shared" si="45"/>
        <v>3.9050137351979458E-2</v>
      </c>
    </row>
    <row r="212" spans="6:13" x14ac:dyDescent="0.2">
      <c r="F212">
        <v>826</v>
      </c>
      <c r="G212">
        <f t="shared" si="38"/>
        <v>0.82599999999999996</v>
      </c>
      <c r="H212">
        <f t="shared" si="40"/>
        <v>553</v>
      </c>
      <c r="I212" s="17">
        <f t="shared" si="45"/>
        <v>2.9685255034949194E-2</v>
      </c>
      <c r="J212" s="17">
        <f t="shared" si="45"/>
        <v>3.1611210230314629E-2</v>
      </c>
      <c r="K212" s="17">
        <f t="shared" si="45"/>
        <v>5.1874090662075927E-2</v>
      </c>
      <c r="L212" s="17">
        <f t="shared" si="45"/>
        <v>6.4186367623459514E-2</v>
      </c>
      <c r="M212" s="17">
        <f t="shared" si="45"/>
        <v>3.9062712429753205E-2</v>
      </c>
    </row>
    <row r="213" spans="6:13" x14ac:dyDescent="0.2">
      <c r="F213">
        <v>827</v>
      </c>
      <c r="G213">
        <f t="shared" si="38"/>
        <v>0.82699999999999996</v>
      </c>
      <c r="H213">
        <f t="shared" si="40"/>
        <v>554</v>
      </c>
      <c r="I213" s="17">
        <f t="shared" si="45"/>
        <v>2.9687669273913201E-2</v>
      </c>
      <c r="J213" s="17">
        <f t="shared" si="45"/>
        <v>3.1617822018297763E-2</v>
      </c>
      <c r="K213" s="17">
        <f t="shared" si="45"/>
        <v>5.1890358503649744E-2</v>
      </c>
      <c r="L213" s="17">
        <f t="shared" si="45"/>
        <v>6.4234167649163648E-2</v>
      </c>
      <c r="M213" s="17">
        <f t="shared" si="45"/>
        <v>3.9075289592235087E-2</v>
      </c>
    </row>
    <row r="214" spans="6:13" x14ac:dyDescent="0.2">
      <c r="F214">
        <v>828</v>
      </c>
      <c r="G214">
        <f t="shared" si="38"/>
        <v>0.82799999999999996</v>
      </c>
      <c r="H214">
        <f t="shared" si="40"/>
        <v>555</v>
      </c>
      <c r="I214" s="17">
        <f t="shared" si="45"/>
        <v>2.9690090585660713E-2</v>
      </c>
      <c r="J214" s="17">
        <f t="shared" si="45"/>
        <v>3.1624430173697787E-2</v>
      </c>
      <c r="K214" s="17">
        <f t="shared" si="45"/>
        <v>5.1906596649703325E-2</v>
      </c>
      <c r="L214" s="17">
        <f t="shared" si="45"/>
        <v>6.4281920426938796E-2</v>
      </c>
      <c r="M214" s="17">
        <f t="shared" si="45"/>
        <v>3.9087868819106718E-2</v>
      </c>
    </row>
    <row r="215" spans="6:13" x14ac:dyDescent="0.2">
      <c r="F215">
        <v>829</v>
      </c>
      <c r="G215">
        <f t="shared" si="38"/>
        <v>0.82899999999999996</v>
      </c>
      <c r="H215">
        <f t="shared" si="40"/>
        <v>556</v>
      </c>
      <c r="I215" s="17">
        <f t="shared" si="45"/>
        <v>2.9692518963362068E-2</v>
      </c>
      <c r="J215" s="17">
        <f t="shared" si="45"/>
        <v>3.1631034672098733E-2</v>
      </c>
      <c r="K215" s="17">
        <f t="shared" si="45"/>
        <v>5.1922805156378746E-2</v>
      </c>
      <c r="L215" s="17">
        <f t="shared" si="45"/>
        <v>6.4329625949989214E-2</v>
      </c>
      <c r="M215" s="17">
        <f t="shared" si="45"/>
        <v>3.9100450090080521E-2</v>
      </c>
    </row>
    <row r="216" spans="6:13" x14ac:dyDescent="0.2">
      <c r="F216">
        <v>830</v>
      </c>
      <c r="G216">
        <f t="shared" si="38"/>
        <v>0.83</v>
      </c>
      <c r="H216">
        <f t="shared" si="40"/>
        <v>557</v>
      </c>
      <c r="I216" s="17">
        <f t="shared" si="45"/>
        <v>2.9694954400128558E-2</v>
      </c>
      <c r="J216" s="17">
        <f t="shared" si="45"/>
        <v>3.1637635489281106E-2</v>
      </c>
      <c r="K216" s="17">
        <f t="shared" si="45"/>
        <v>5.1938984079767138E-2</v>
      </c>
      <c r="L216" s="17">
        <f t="shared" si="45"/>
        <v>6.437728421177176E-2</v>
      </c>
      <c r="M216" s="17">
        <f t="shared" si="45"/>
        <v>3.9113033384899527E-2</v>
      </c>
    </row>
    <row r="217" spans="6:13" x14ac:dyDescent="0.2">
      <c r="F217">
        <v>831</v>
      </c>
      <c r="G217">
        <f t="shared" si="38"/>
        <v>0.83099999999999996</v>
      </c>
      <c r="H217">
        <f t="shared" si="40"/>
        <v>558</v>
      </c>
      <c r="I217" s="17">
        <f t="shared" si="45"/>
        <v>2.969739688901284E-2</v>
      </c>
      <c r="J217" s="17">
        <f t="shared" si="45"/>
        <v>3.1644232601220498E-2</v>
      </c>
      <c r="K217" s="17">
        <f t="shared" si="45"/>
        <v>5.195513347590916E-2</v>
      </c>
      <c r="L217" s="17">
        <f t="shared" si="45"/>
        <v>6.4424895205994245E-2</v>
      </c>
      <c r="M217" s="17">
        <f t="shared" si="45"/>
        <v>3.9125618683337103E-2</v>
      </c>
    </row>
    <row r="218" spans="6:13" x14ac:dyDescent="0.2">
      <c r="F218">
        <v>832</v>
      </c>
      <c r="G218">
        <f t="shared" si="38"/>
        <v>0.83199999999999996</v>
      </c>
      <c r="H218">
        <f t="shared" si="40"/>
        <v>559</v>
      </c>
      <c r="I218" s="17">
        <f t="shared" si="45"/>
        <v>2.969984642300939E-2</v>
      </c>
      <c r="J218" s="17">
        <f t="shared" si="45"/>
        <v>3.1650825984086098E-2</v>
      </c>
      <c r="K218" s="17">
        <f t="shared" si="45"/>
        <v>5.1971253400795281E-2</v>
      </c>
      <c r="L218" s="17">
        <f t="shared" si="45"/>
        <v>6.4472458926613477E-2</v>
      </c>
      <c r="M218" s="17">
        <f t="shared" si="45"/>
        <v>3.9138205965196772E-2</v>
      </c>
    </row>
    <row r="219" spans="6:13" x14ac:dyDescent="0.2">
      <c r="F219">
        <v>833</v>
      </c>
      <c r="G219">
        <f t="shared" si="38"/>
        <v>0.83299999999999996</v>
      </c>
      <c r="H219">
        <f t="shared" si="40"/>
        <v>560</v>
      </c>
      <c r="I219" s="17">
        <f t="shared" ref="I219:M228" si="46">(I$151+I$152*$G219+I$153*($G219^2)+I$154*($G219^3)+I$155/($G219^2))/1000</f>
        <v>2.9702302995054889E-2</v>
      </c>
      <c r="J219" s="17">
        <f t="shared" si="46"/>
        <v>3.1657415614239411E-2</v>
      </c>
      <c r="K219" s="17">
        <f t="shared" si="46"/>
        <v>5.1987343910366232E-2</v>
      </c>
      <c r="L219" s="17">
        <f t="shared" si="46"/>
        <v>6.4519975367833549E-2</v>
      </c>
      <c r="M219" s="17">
        <f t="shared" si="46"/>
        <v>3.9150795210312013E-2</v>
      </c>
    </row>
    <row r="220" spans="6:13" x14ac:dyDescent="0.2">
      <c r="F220">
        <v>834</v>
      </c>
      <c r="G220">
        <f t="shared" si="38"/>
        <v>0.83399999999999996</v>
      </c>
      <c r="H220">
        <f t="shared" si="40"/>
        <v>561</v>
      </c>
      <c r="I220" s="17">
        <f t="shared" si="46"/>
        <v>2.9704766598028686E-2</v>
      </c>
      <c r="J220" s="17">
        <f t="shared" si="46"/>
        <v>3.1664001468232776E-2</v>
      </c>
      <c r="K220" s="17">
        <f t="shared" si="46"/>
        <v>5.2003405060513264E-2</v>
      </c>
      <c r="L220" s="17">
        <f t="shared" si="46"/>
        <v>6.4567444524104095E-2</v>
      </c>
      <c r="M220" s="17">
        <f t="shared" si="46"/>
        <v>3.9163386398545989E-2</v>
      </c>
    </row>
    <row r="221" spans="6:13" x14ac:dyDescent="0.2">
      <c r="F221">
        <v>835</v>
      </c>
      <c r="G221">
        <f t="shared" si="38"/>
        <v>0.83499999999999996</v>
      </c>
      <c r="H221">
        <f t="shared" si="40"/>
        <v>562</v>
      </c>
      <c r="I221" s="17">
        <f t="shared" si="46"/>
        <v>2.9707237224753144E-2</v>
      </c>
      <c r="J221" s="17">
        <f t="shared" si="46"/>
        <v>3.1670583522808049E-2</v>
      </c>
      <c r="K221" s="17">
        <f t="shared" si="46"/>
        <v>5.2019436907078567E-2</v>
      </c>
      <c r="L221" s="17">
        <f t="shared" si="46"/>
        <v>6.4614866390118389E-2</v>
      </c>
      <c r="M221" s="17">
        <f t="shared" si="46"/>
        <v>3.9175979509791389E-2</v>
      </c>
    </row>
    <row r="222" spans="6:13" x14ac:dyDescent="0.2">
      <c r="F222">
        <v>836</v>
      </c>
      <c r="G222">
        <f t="shared" si="38"/>
        <v>0.83599999999999997</v>
      </c>
      <c r="H222">
        <f t="shared" si="40"/>
        <v>563</v>
      </c>
      <c r="I222" s="17">
        <f t="shared" si="46"/>
        <v>2.9709714867994098E-2</v>
      </c>
      <c r="J222" s="17">
        <f t="shared" si="46"/>
        <v>3.1677161754895267E-2</v>
      </c>
      <c r="K222" s="17">
        <f t="shared" si="46"/>
        <v>5.2035439505855575E-2</v>
      </c>
      <c r="L222" s="17">
        <f t="shared" si="46"/>
        <v>6.4662240960811801E-2</v>
      </c>
      <c r="M222" s="17">
        <f t="shared" si="46"/>
        <v>3.918857452397019E-2</v>
      </c>
    </row>
    <row r="223" spans="6:13" x14ac:dyDescent="0.2">
      <c r="F223">
        <v>837</v>
      </c>
      <c r="G223">
        <f t="shared" ref="G223:G286" si="47">F223/1000</f>
        <v>0.83699999999999997</v>
      </c>
      <c r="H223">
        <f t="shared" si="40"/>
        <v>564</v>
      </c>
      <c r="I223" s="17">
        <f t="shared" si="46"/>
        <v>2.9712199520461238E-2</v>
      </c>
      <c r="J223" s="17">
        <f t="shared" si="46"/>
        <v>3.1683736141611199E-2</v>
      </c>
      <c r="K223" s="17">
        <f t="shared" si="46"/>
        <v>5.2051412912589433E-2</v>
      </c>
      <c r="L223" s="17">
        <f t="shared" si="46"/>
        <v>6.4709568231359829E-2</v>
      </c>
      <c r="M223" s="17">
        <f t="shared" si="46"/>
        <v>3.9201171421033444E-2</v>
      </c>
    </row>
    <row r="224" spans="6:13" x14ac:dyDescent="0.2">
      <c r="F224">
        <v>838</v>
      </c>
      <c r="G224">
        <f t="shared" si="47"/>
        <v>0.83799999999999997</v>
      </c>
      <c r="H224">
        <f t="shared" si="40"/>
        <v>565</v>
      </c>
      <c r="I224" s="17">
        <f t="shared" si="46"/>
        <v>2.9714691174808537E-2</v>
      </c>
      <c r="J224" s="17">
        <f t="shared" si="46"/>
        <v>3.1690306660258134E-2</v>
      </c>
      <c r="K224" s="17">
        <f t="shared" si="46"/>
        <v>5.2067357182977149E-2</v>
      </c>
      <c r="L224" s="17">
        <f t="shared" si="46"/>
        <v>6.4756848197176586E-2</v>
      </c>
      <c r="M224" s="17">
        <f t="shared" si="46"/>
        <v>3.9213770180961068E-2</v>
      </c>
    </row>
    <row r="225" spans="6:13" x14ac:dyDescent="0.2">
      <c r="F225">
        <v>839</v>
      </c>
      <c r="G225">
        <f t="shared" si="47"/>
        <v>0.83899999999999997</v>
      </c>
      <c r="H225">
        <f t="shared" ref="H225:H288" si="48">F225-273</f>
        <v>566</v>
      </c>
      <c r="I225" s="17">
        <f t="shared" si="46"/>
        <v>2.9717189823634613E-2</v>
      </c>
      <c r="J225" s="17">
        <f t="shared" si="46"/>
        <v>3.1696873288322464E-2</v>
      </c>
      <c r="K225" s="17">
        <f t="shared" si="46"/>
        <v>5.2083272372668112E-2</v>
      </c>
      <c r="L225" s="17">
        <f t="shared" si="46"/>
        <v>6.480408085391294E-2</v>
      </c>
      <c r="M225" s="17">
        <f t="shared" si="46"/>
        <v>3.9226370783761656E-2</v>
      </c>
    </row>
    <row r="226" spans="6:13" x14ac:dyDescent="0.2">
      <c r="F226">
        <v>840</v>
      </c>
      <c r="G226">
        <f t="shared" si="47"/>
        <v>0.84</v>
      </c>
      <c r="H226">
        <f t="shared" si="48"/>
        <v>567</v>
      </c>
      <c r="I226" s="17">
        <f t="shared" si="46"/>
        <v>2.9719695459483136E-2</v>
      </c>
      <c r="J226" s="17">
        <f t="shared" si="46"/>
        <v>3.1703436003473411E-2</v>
      </c>
      <c r="K226" s="17">
        <f t="shared" si="46"/>
        <v>5.2099158537264337E-2</v>
      </c>
      <c r="L226" s="17">
        <f t="shared" si="46"/>
        <v>6.4851266197454946E-2</v>
      </c>
      <c r="M226" s="17">
        <f t="shared" si="46"/>
        <v>3.9238973209472283E-2</v>
      </c>
    </row>
    <row r="227" spans="6:13" x14ac:dyDescent="0.2">
      <c r="F227">
        <v>841</v>
      </c>
      <c r="G227">
        <f t="shared" si="47"/>
        <v>0.84099999999999997</v>
      </c>
      <c r="H227">
        <f t="shared" si="48"/>
        <v>568</v>
      </c>
      <c r="I227" s="17">
        <f t="shared" si="46"/>
        <v>2.972220807484325E-2</v>
      </c>
      <c r="J227" s="17">
        <f t="shared" si="46"/>
        <v>3.1709994783561728E-2</v>
      </c>
      <c r="K227" s="17">
        <f t="shared" si="46"/>
        <v>5.2115015732320816E-2</v>
      </c>
      <c r="L227" s="17">
        <f t="shared" si="46"/>
        <v>6.489840422392211E-2</v>
      </c>
      <c r="M227" s="17">
        <f t="shared" si="46"/>
        <v>3.9251577438158256E-2</v>
      </c>
    </row>
    <row r="228" spans="6:13" x14ac:dyDescent="0.2">
      <c r="F228">
        <v>842</v>
      </c>
      <c r="G228">
        <f t="shared" si="47"/>
        <v>0.84199999999999997</v>
      </c>
      <c r="H228">
        <f t="shared" si="48"/>
        <v>569</v>
      </c>
      <c r="I228" s="17">
        <f t="shared" si="46"/>
        <v>2.9724727662149921E-2</v>
      </c>
      <c r="J228" s="17">
        <f t="shared" si="46"/>
        <v>3.1716549606618356E-2</v>
      </c>
      <c r="K228" s="17">
        <f t="shared" si="46"/>
        <v>5.2130844013345917E-2</v>
      </c>
      <c r="L228" s="17">
        <f t="shared" si="46"/>
        <v>6.4945494929665684E-2</v>
      </c>
      <c r="M228" s="17">
        <f t="shared" si="46"/>
        <v>3.9264183449912948E-2</v>
      </c>
    </row>
    <row r="229" spans="6:13" x14ac:dyDescent="0.2">
      <c r="F229">
        <v>843</v>
      </c>
      <c r="G229">
        <f t="shared" si="47"/>
        <v>0.84299999999999997</v>
      </c>
      <c r="H229">
        <f t="shared" si="48"/>
        <v>570</v>
      </c>
      <c r="I229" s="17">
        <f t="shared" ref="I229:M238" si="49">(I$151+I$152*$G229+I$153*($G229^2)+I$154*($G229^3)+I$155/($G229^2))/1000</f>
        <v>2.9727254213784325E-2</v>
      </c>
      <c r="J229" s="17">
        <f t="shared" si="49"/>
        <v>3.1723100450853241E-2</v>
      </c>
      <c r="K229" s="17">
        <f t="shared" si="49"/>
        <v>5.214664343580161E-2</v>
      </c>
      <c r="L229" s="17">
        <f t="shared" si="49"/>
        <v>6.499253831126714E-2</v>
      </c>
      <c r="M229" s="17">
        <f t="shared" si="49"/>
        <v>3.9276791224857582E-2</v>
      </c>
    </row>
    <row r="230" spans="6:13" x14ac:dyDescent="0.2">
      <c r="F230">
        <v>844</v>
      </c>
      <c r="G230">
        <f t="shared" si="47"/>
        <v>0.84399999999999997</v>
      </c>
      <c r="H230">
        <f t="shared" si="48"/>
        <v>571</v>
      </c>
      <c r="I230" s="17">
        <f t="shared" si="49"/>
        <v>2.9729787722074255E-2</v>
      </c>
      <c r="J230" s="17">
        <f t="shared" si="49"/>
        <v>3.1729647294653926E-2</v>
      </c>
      <c r="K230" s="17">
        <f t="shared" si="49"/>
        <v>5.2162414055103884E-2</v>
      </c>
      <c r="L230" s="17">
        <f t="shared" si="49"/>
        <v>6.5039534365536389E-2</v>
      </c>
      <c r="M230" s="17">
        <f t="shared" si="49"/>
        <v>3.9289400743141065E-2</v>
      </c>
    </row>
    <row r="231" spans="6:13" x14ac:dyDescent="0.2">
      <c r="F231">
        <v>845</v>
      </c>
      <c r="G231">
        <f t="shared" si="47"/>
        <v>0.84499999999999997</v>
      </c>
      <c r="H231">
        <f t="shared" si="48"/>
        <v>572</v>
      </c>
      <c r="I231" s="17">
        <f t="shared" si="49"/>
        <v>2.9732328179294509E-2</v>
      </c>
      <c r="J231" s="17">
        <f t="shared" si="49"/>
        <v>3.1736190116584434E-2</v>
      </c>
      <c r="K231" s="17">
        <f t="shared" si="49"/>
        <v>5.2178155926623032E-2</v>
      </c>
      <c r="L231" s="17">
        <f t="shared" si="49"/>
        <v>6.5086483089510261E-2</v>
      </c>
      <c r="M231" s="17">
        <f t="shared" si="49"/>
        <v>3.9302011984939746E-2</v>
      </c>
    </row>
    <row r="232" spans="6:13" x14ac:dyDescent="0.2">
      <c r="F232">
        <v>846</v>
      </c>
      <c r="G232">
        <f t="shared" si="47"/>
        <v>0.84599999999999997</v>
      </c>
      <c r="H232">
        <f t="shared" si="48"/>
        <v>573</v>
      </c>
      <c r="I232" s="17">
        <f t="shared" si="49"/>
        <v>2.9734875577667207E-2</v>
      </c>
      <c r="J232" s="17">
        <f t="shared" si="49"/>
        <v>3.1742728895383897E-2</v>
      </c>
      <c r="K232" s="17">
        <f t="shared" si="49"/>
        <v>5.2193869105683986E-2</v>
      </c>
      <c r="L232" s="17">
        <f t="shared" si="49"/>
        <v>6.5133384480450876E-2</v>
      </c>
      <c r="M232" s="17">
        <f t="shared" si="49"/>
        <v>3.9314624930457266E-2</v>
      </c>
    </row>
    <row r="233" spans="6:13" x14ac:dyDescent="0.2">
      <c r="F233">
        <v>847</v>
      </c>
      <c r="G233">
        <f t="shared" si="47"/>
        <v>0.84699999999999998</v>
      </c>
      <c r="H233">
        <f t="shared" si="48"/>
        <v>574</v>
      </c>
      <c r="I233" s="17">
        <f t="shared" si="49"/>
        <v>2.9737429909362231E-2</v>
      </c>
      <c r="J233" s="17">
        <f t="shared" si="49"/>
        <v>3.174926360996539E-2</v>
      </c>
      <c r="K233" s="17">
        <f t="shared" si="49"/>
        <v>5.2209553647566638E-2</v>
      </c>
      <c r="L233" s="17">
        <f t="shared" si="49"/>
        <v>6.5180238535844023E-2</v>
      </c>
      <c r="M233" s="17">
        <f t="shared" si="49"/>
        <v>3.9327239559924301E-2</v>
      </c>
    </row>
    <row r="234" spans="6:13" x14ac:dyDescent="0.2">
      <c r="F234">
        <v>848</v>
      </c>
      <c r="G234">
        <f t="shared" si="47"/>
        <v>0.84799999999999998</v>
      </c>
      <c r="H234">
        <f t="shared" si="48"/>
        <v>575</v>
      </c>
      <c r="I234" s="17">
        <f t="shared" si="49"/>
        <v>2.9739991166497542E-2</v>
      </c>
      <c r="J234" s="17">
        <f t="shared" si="49"/>
        <v>3.1755794239414707E-2</v>
      </c>
      <c r="K234" s="17">
        <f t="shared" si="49"/>
        <v>5.2225209607506144E-2</v>
      </c>
      <c r="L234" s="17">
        <f t="shared" si="49"/>
        <v>6.5227045253397578E-2</v>
      </c>
      <c r="M234" s="17">
        <f t="shared" si="49"/>
        <v>3.9339855853598477E-2</v>
      </c>
    </row>
    <row r="235" spans="6:13" x14ac:dyDescent="0.2">
      <c r="F235">
        <v>849</v>
      </c>
      <c r="G235">
        <f t="shared" si="47"/>
        <v>0.84899999999999998</v>
      </c>
      <c r="H235">
        <f t="shared" si="48"/>
        <v>576</v>
      </c>
      <c r="I235" s="17">
        <f t="shared" si="49"/>
        <v>2.9742559341139584E-2</v>
      </c>
      <c r="J235" s="17">
        <f t="shared" si="49"/>
        <v>3.1762320762989044E-2</v>
      </c>
      <c r="K235" s="17">
        <f t="shared" si="49"/>
        <v>5.2240837040693267E-2</v>
      </c>
      <c r="L235" s="17">
        <f t="shared" si="49"/>
        <v>6.5273804631039989E-2</v>
      </c>
      <c r="M235" s="17">
        <f t="shared" si="49"/>
        <v>3.9352473791764056E-2</v>
      </c>
    </row>
    <row r="236" spans="6:13" x14ac:dyDescent="0.2">
      <c r="F236">
        <v>850</v>
      </c>
      <c r="G236">
        <f t="shared" si="47"/>
        <v>0.85</v>
      </c>
      <c r="H236">
        <f t="shared" si="48"/>
        <v>577</v>
      </c>
      <c r="I236" s="17">
        <f t="shared" si="49"/>
        <v>2.9745134425303632E-2</v>
      </c>
      <c r="J236" s="17">
        <f t="shared" si="49"/>
        <v>3.1768843160115919E-2</v>
      </c>
      <c r="K236" s="17">
        <f t="shared" si="49"/>
        <v>5.2256436002274663E-2</v>
      </c>
      <c r="L236" s="17">
        <f t="shared" si="49"/>
        <v>6.5320516666918682E-2</v>
      </c>
      <c r="M236" s="17">
        <f t="shared" si="49"/>
        <v>3.9365093354731831E-2</v>
      </c>
    </row>
    <row r="237" spans="6:13" x14ac:dyDescent="0.2">
      <c r="F237">
        <v>851</v>
      </c>
      <c r="G237">
        <f t="shared" si="47"/>
        <v>0.85099999999999998</v>
      </c>
      <c r="H237">
        <f t="shared" si="48"/>
        <v>578</v>
      </c>
      <c r="I237" s="17">
        <f t="shared" si="49"/>
        <v>2.974771641095415E-2</v>
      </c>
      <c r="J237" s="17">
        <f t="shared" si="49"/>
        <v>3.1775361410391875E-2</v>
      </c>
      <c r="K237" s="17">
        <f t="shared" si="49"/>
        <v>5.2272006547353207E-2</v>
      </c>
      <c r="L237" s="17">
        <f t="shared" si="49"/>
        <v>6.5367181359398466E-2</v>
      </c>
      <c r="M237" s="17">
        <f t="shared" si="49"/>
        <v>3.9377714522838919E-2</v>
      </c>
    </row>
    <row r="238" spans="6:13" x14ac:dyDescent="0.2">
      <c r="F238">
        <v>852</v>
      </c>
      <c r="G238">
        <f t="shared" si="47"/>
        <v>0.85199999999999998</v>
      </c>
      <c r="H238">
        <f t="shared" si="48"/>
        <v>579</v>
      </c>
      <c r="I238" s="17">
        <f t="shared" si="49"/>
        <v>2.975030529000516E-2</v>
      </c>
      <c r="J238" s="17">
        <f t="shared" si="49"/>
        <v>3.1781875493581364E-2</v>
      </c>
      <c r="K238" s="17">
        <f t="shared" si="49"/>
        <v>5.2287548730988322E-2</v>
      </c>
      <c r="L238" s="17">
        <f t="shared" si="49"/>
        <v>6.5413798707060142E-2</v>
      </c>
      <c r="M238" s="17">
        <f t="shared" si="49"/>
        <v>3.9390337276448563E-2</v>
      </c>
    </row>
    <row r="239" spans="6:13" x14ac:dyDescent="0.2">
      <c r="F239">
        <v>853</v>
      </c>
      <c r="G239">
        <f t="shared" si="47"/>
        <v>0.85299999999999998</v>
      </c>
      <c r="H239">
        <f t="shared" si="48"/>
        <v>580</v>
      </c>
      <c r="I239" s="17">
        <f t="shared" ref="I239:M248" si="50">(I$151+I$152*$G239+I$153*($G239^2)+I$154*($G239^3)+I$155/($G239^2))/1000</f>
        <v>2.9752901054320564E-2</v>
      </c>
      <c r="J239" s="17">
        <f t="shared" si="50"/>
        <v>3.1788385389615488E-2</v>
      </c>
      <c r="K239" s="17">
        <f t="shared" si="50"/>
        <v>5.2303062608196227E-2</v>
      </c>
      <c r="L239" s="17">
        <f t="shared" si="50"/>
        <v>6.5460368708698771E-2</v>
      </c>
      <c r="M239" s="17">
        <f t="shared" si="50"/>
        <v>3.940296159594997E-2</v>
      </c>
    </row>
    <row r="240" spans="6:13" x14ac:dyDescent="0.2">
      <c r="F240">
        <v>854</v>
      </c>
      <c r="G240">
        <f t="shared" si="47"/>
        <v>0.85399999999999998</v>
      </c>
      <c r="H240">
        <f t="shared" si="48"/>
        <v>581</v>
      </c>
      <c r="I240" s="17">
        <f t="shared" si="50"/>
        <v>2.9755503695714551E-2</v>
      </c>
      <c r="J240" s="17">
        <f t="shared" si="50"/>
        <v>3.1794891078590889E-2</v>
      </c>
      <c r="K240" s="17">
        <f t="shared" si="50"/>
        <v>5.231854823395031E-2</v>
      </c>
      <c r="L240" s="17">
        <f t="shared" si="50"/>
        <v>6.5506891363322439E-2</v>
      </c>
      <c r="M240" s="17">
        <f t="shared" si="50"/>
        <v>3.9415587461758085E-2</v>
      </c>
    </row>
    <row r="241" spans="6:13" x14ac:dyDescent="0.2">
      <c r="F241">
        <v>855</v>
      </c>
      <c r="G241">
        <f t="shared" si="47"/>
        <v>0.85499999999999998</v>
      </c>
      <c r="H241">
        <f t="shared" si="48"/>
        <v>582</v>
      </c>
      <c r="I241" s="17">
        <f t="shared" si="50"/>
        <v>2.9758113205951908E-2</v>
      </c>
      <c r="J241" s="17">
        <f t="shared" si="50"/>
        <v>3.1801392540768594E-2</v>
      </c>
      <c r="K241" s="17">
        <f t="shared" si="50"/>
        <v>5.2334005663181353E-2</v>
      </c>
      <c r="L241" s="17">
        <f t="shared" si="50"/>
        <v>6.555336667015052E-2</v>
      </c>
      <c r="M241" s="17">
        <f t="shared" si="50"/>
        <v>3.9428214854313484E-2</v>
      </c>
    </row>
    <row r="242" spans="6:13" x14ac:dyDescent="0.2">
      <c r="F242">
        <v>856</v>
      </c>
      <c r="G242">
        <f t="shared" si="47"/>
        <v>0.85599999999999998</v>
      </c>
      <c r="H242">
        <f t="shared" si="48"/>
        <v>583</v>
      </c>
      <c r="I242" s="17">
        <f t="shared" si="50"/>
        <v>2.9760729576748357E-2</v>
      </c>
      <c r="J242" s="17">
        <f t="shared" si="50"/>
        <v>3.1807889756572783E-2</v>
      </c>
      <c r="K242" s="17">
        <f t="shared" si="50"/>
        <v>5.2349434950777901E-2</v>
      </c>
      <c r="L242" s="17">
        <f t="shared" si="50"/>
        <v>6.5599794628612346E-2</v>
      </c>
      <c r="M242" s="17">
        <f t="shared" si="50"/>
        <v>3.9440843754082119E-2</v>
      </c>
    </row>
    <row r="243" spans="6:13" x14ac:dyDescent="0.2">
      <c r="F243">
        <v>857</v>
      </c>
      <c r="G243">
        <f t="shared" si="47"/>
        <v>0.85699999999999998</v>
      </c>
      <c r="H243">
        <f t="shared" si="48"/>
        <v>584</v>
      </c>
      <c r="I243" s="17">
        <f t="shared" si="50"/>
        <v>2.9763352799770926E-2</v>
      </c>
      <c r="J243" s="17">
        <f t="shared" si="50"/>
        <v>3.1814382706589754E-2</v>
      </c>
      <c r="K243" s="17">
        <f t="shared" si="50"/>
        <v>5.2364836151586498E-2</v>
      </c>
      <c r="L243" s="17">
        <f t="shared" si="50"/>
        <v>6.5646175238345664E-2</v>
      </c>
      <c r="M243" s="17">
        <f t="shared" si="50"/>
        <v>3.9453474141555207E-2</v>
      </c>
    </row>
    <row r="244" spans="6:13" x14ac:dyDescent="0.2">
      <c r="F244">
        <v>858</v>
      </c>
      <c r="G244">
        <f t="shared" si="47"/>
        <v>0.85799999999999998</v>
      </c>
      <c r="H244">
        <f t="shared" si="48"/>
        <v>585</v>
      </c>
      <c r="I244" s="17">
        <f t="shared" si="50"/>
        <v>2.9765982866638282E-2</v>
      </c>
      <c r="J244" s="17">
        <f t="shared" si="50"/>
        <v>3.1820871371566715E-2</v>
      </c>
      <c r="K244" s="17">
        <f t="shared" si="50"/>
        <v>5.2380209320412041E-2</v>
      </c>
      <c r="L244" s="17">
        <f t="shared" si="50"/>
        <v>6.5692508499195237E-2</v>
      </c>
      <c r="M244" s="17">
        <f t="shared" si="50"/>
        <v>3.9466105997248951E-2</v>
      </c>
    </row>
    <row r="245" spans="6:13" x14ac:dyDescent="0.2">
      <c r="F245">
        <v>859</v>
      </c>
      <c r="G245">
        <f t="shared" si="47"/>
        <v>0.85899999999999999</v>
      </c>
      <c r="H245">
        <f t="shared" si="48"/>
        <v>586</v>
      </c>
      <c r="I245" s="17">
        <f t="shared" si="50"/>
        <v>2.9768619768921065E-2</v>
      </c>
      <c r="J245" s="17">
        <f t="shared" si="50"/>
        <v>3.1827355732410682E-2</v>
      </c>
      <c r="K245" s="17">
        <f t="shared" si="50"/>
        <v>5.2395554512018022E-2</v>
      </c>
      <c r="L245" s="17">
        <f t="shared" si="50"/>
        <v>6.5738794411211318E-2</v>
      </c>
      <c r="M245" s="17">
        <f t="shared" si="50"/>
        <v>3.9478739301704542E-2</v>
      </c>
    </row>
    <row r="246" spans="6:13" x14ac:dyDescent="0.2">
      <c r="F246">
        <v>860</v>
      </c>
      <c r="G246">
        <f t="shared" si="47"/>
        <v>0.86</v>
      </c>
      <c r="H246">
        <f t="shared" si="48"/>
        <v>587</v>
      </c>
      <c r="I246" s="17">
        <f t="shared" si="50"/>
        <v>2.9771263498142211E-2</v>
      </c>
      <c r="J246" s="17">
        <f t="shared" si="50"/>
        <v>3.1833835770187398E-2</v>
      </c>
      <c r="K246" s="17">
        <f t="shared" si="50"/>
        <v>5.2410871781126848E-2</v>
      </c>
      <c r="L246" s="17">
        <f t="shared" si="50"/>
        <v>6.5785032974648272E-2</v>
      </c>
      <c r="M246" s="17">
        <f t="shared" si="50"/>
        <v>3.9491374035487768E-2</v>
      </c>
    </row>
    <row r="247" spans="6:13" x14ac:dyDescent="0.2">
      <c r="F247">
        <v>861</v>
      </c>
      <c r="G247">
        <f t="shared" si="47"/>
        <v>0.86099999999999999</v>
      </c>
      <c r="H247">
        <f t="shared" si="48"/>
        <v>588</v>
      </c>
      <c r="I247" s="17">
        <f t="shared" si="50"/>
        <v>2.9773914045777304E-2</v>
      </c>
      <c r="J247" s="17">
        <f t="shared" si="50"/>
        <v>3.1840311466120146E-2</v>
      </c>
      <c r="K247" s="17">
        <f t="shared" si="50"/>
        <v>5.2426161182420092E-2</v>
      </c>
      <c r="L247" s="17">
        <f t="shared" si="50"/>
        <v>6.5831224189963206E-2</v>
      </c>
      <c r="M247" s="17">
        <f t="shared" si="50"/>
        <v>3.9504010179189024E-2</v>
      </c>
    </row>
    <row r="248" spans="6:13" x14ac:dyDescent="0.2">
      <c r="F248">
        <v>862</v>
      </c>
      <c r="G248">
        <f t="shared" si="47"/>
        <v>0.86199999999999999</v>
      </c>
      <c r="H248">
        <f t="shared" si="48"/>
        <v>589</v>
      </c>
      <c r="I248" s="17">
        <f t="shared" si="50"/>
        <v>2.9776571403254896E-2</v>
      </c>
      <c r="J248" s="17">
        <f t="shared" si="50"/>
        <v>3.1846782801588751E-2</v>
      </c>
      <c r="K248" s="17">
        <f t="shared" si="50"/>
        <v>5.2441422770538808E-2</v>
      </c>
      <c r="L248" s="17">
        <f t="shared" si="50"/>
        <v>6.5877368057814467E-2</v>
      </c>
      <c r="M248" s="17">
        <f t="shared" si="50"/>
        <v>3.9516647713423024E-2</v>
      </c>
    </row>
    <row r="249" spans="6:13" x14ac:dyDescent="0.2">
      <c r="F249">
        <v>863</v>
      </c>
      <c r="G249">
        <f t="shared" si="47"/>
        <v>0.86299999999999999</v>
      </c>
      <c r="H249">
        <f t="shared" si="48"/>
        <v>590</v>
      </c>
      <c r="I249" s="17">
        <f t="shared" ref="I249:M258" si="51">(I$151+I$152*$G249+I$153*($G249^2)+I$154*($G249^3)+I$155/($G249^2))/1000</f>
        <v>2.9779235561956833E-2</v>
      </c>
      <c r="J249" s="17">
        <f t="shared" si="51"/>
        <v>3.1853249758128407E-2</v>
      </c>
      <c r="K249" s="17">
        <f t="shared" si="51"/>
        <v>5.2456656600083792E-2</v>
      </c>
      <c r="L249" s="17">
        <f t="shared" si="51"/>
        <v>6.5923464579060204E-2</v>
      </c>
      <c r="M249" s="17">
        <f t="shared" si="51"/>
        <v>3.9529286618828735E-2</v>
      </c>
    </row>
    <row r="250" spans="6:13" x14ac:dyDescent="0.2">
      <c r="F250">
        <v>864</v>
      </c>
      <c r="G250">
        <f t="shared" si="47"/>
        <v>0.86399999999999999</v>
      </c>
      <c r="H250">
        <f t="shared" si="48"/>
        <v>591</v>
      </c>
      <c r="I250" s="17">
        <f t="shared" si="51"/>
        <v>2.9781906513218593E-2</v>
      </c>
      <c r="J250" s="17">
        <f t="shared" si="51"/>
        <v>3.1859712317428679E-2</v>
      </c>
      <c r="K250" s="17">
        <f t="shared" si="51"/>
        <v>5.2471862725615902E-2</v>
      </c>
      <c r="L250" s="17">
        <f t="shared" si="51"/>
        <v>6.5969513754757167E-2</v>
      </c>
      <c r="M250" s="17">
        <f t="shared" si="51"/>
        <v>3.9541926876069076E-2</v>
      </c>
    </row>
    <row r="251" spans="6:13" x14ac:dyDescent="0.2">
      <c r="F251">
        <v>865</v>
      </c>
      <c r="G251">
        <f t="shared" si="47"/>
        <v>0.86499999999999999</v>
      </c>
      <c r="H251">
        <f t="shared" si="48"/>
        <v>592</v>
      </c>
      <c r="I251" s="17">
        <f t="shared" si="51"/>
        <v>2.9784584248329572E-2</v>
      </c>
      <c r="J251" s="17">
        <f t="shared" si="51"/>
        <v>3.186617046133236E-2</v>
      </c>
      <c r="K251" s="17">
        <f t="shared" si="51"/>
        <v>5.248704120165628E-2</v>
      </c>
      <c r="L251" s="17">
        <f t="shared" si="51"/>
        <v>6.6015515586159174E-2</v>
      </c>
      <c r="M251" s="17">
        <f t="shared" si="51"/>
        <v>3.9554568465830879E-2</v>
      </c>
    </row>
    <row r="252" spans="6:13" x14ac:dyDescent="0.2">
      <c r="F252">
        <v>866</v>
      </c>
      <c r="G252">
        <f t="shared" si="47"/>
        <v>0.86599999999999999</v>
      </c>
      <c r="H252">
        <f t="shared" si="48"/>
        <v>593</v>
      </c>
      <c r="I252" s="17">
        <f t="shared" si="51"/>
        <v>2.978726875853345E-2</v>
      </c>
      <c r="J252" s="17">
        <f t="shared" si="51"/>
        <v>3.1872624171834452E-2</v>
      </c>
      <c r="K252" s="17">
        <f t="shared" si="51"/>
        <v>5.2502192082686666E-2</v>
      </c>
      <c r="L252" s="17">
        <f t="shared" si="51"/>
        <v>6.6061470074715745E-2</v>
      </c>
      <c r="M252" s="17">
        <f t="shared" si="51"/>
        <v>3.9567211368824656E-2</v>
      </c>
    </row>
    <row r="253" spans="6:13" x14ac:dyDescent="0.2">
      <c r="F253">
        <v>867</v>
      </c>
      <c r="G253">
        <f t="shared" si="47"/>
        <v>0.86699999999999999</v>
      </c>
      <c r="H253">
        <f t="shared" si="48"/>
        <v>594</v>
      </c>
      <c r="I253" s="17">
        <f t="shared" si="51"/>
        <v>2.9789960035028464E-2</v>
      </c>
      <c r="J253" s="17">
        <f t="shared" si="51"/>
        <v>3.1879073431081088E-2</v>
      </c>
      <c r="K253" s="17">
        <f t="shared" si="51"/>
        <v>5.2517315423149649E-2</v>
      </c>
      <c r="L253" s="17">
        <f t="shared" si="51"/>
        <v>6.6107377222070871E-2</v>
      </c>
      <c r="M253" s="17">
        <f t="shared" si="51"/>
        <v>3.9579855565784451E-2</v>
      </c>
    </row>
    <row r="254" spans="6:13" x14ac:dyDescent="0.2">
      <c r="F254">
        <v>868</v>
      </c>
      <c r="G254">
        <f t="shared" si="47"/>
        <v>0.86799999999999999</v>
      </c>
      <c r="H254">
        <f t="shared" si="48"/>
        <v>595</v>
      </c>
      <c r="I254" s="17">
        <f t="shared" si="51"/>
        <v>2.9792658068967765E-2</v>
      </c>
      <c r="J254" s="17">
        <f t="shared" si="51"/>
        <v>3.1885518221368529E-2</v>
      </c>
      <c r="K254" s="17">
        <f t="shared" si="51"/>
        <v>5.2532411277448919E-2</v>
      </c>
      <c r="L254" s="17">
        <f t="shared" si="51"/>
        <v>6.6153237030061526E-2</v>
      </c>
      <c r="M254" s="17">
        <f t="shared" si="51"/>
        <v>3.9592501037467649E-2</v>
      </c>
    </row>
    <row r="255" spans="6:13" x14ac:dyDescent="0.2">
      <c r="F255">
        <v>869</v>
      </c>
      <c r="G255">
        <f t="shared" si="47"/>
        <v>0.86899999999999999</v>
      </c>
      <c r="H255">
        <f t="shared" si="48"/>
        <v>596</v>
      </c>
      <c r="I255" s="17">
        <f t="shared" si="51"/>
        <v>2.9795362851459683E-2</v>
      </c>
      <c r="J255" s="17">
        <f t="shared" si="51"/>
        <v>3.1891958525142081E-2</v>
      </c>
      <c r="K255" s="17">
        <f t="shared" si="51"/>
        <v>5.2547479699949606E-2</v>
      </c>
      <c r="L255" s="17">
        <f t="shared" si="51"/>
        <v>6.619904950071645E-2</v>
      </c>
      <c r="M255" s="17">
        <f t="shared" si="51"/>
        <v>3.9605147764654895E-2</v>
      </c>
    </row>
    <row r="256" spans="6:13" x14ac:dyDescent="0.2">
      <c r="F256">
        <v>870</v>
      </c>
      <c r="G256">
        <f t="shared" si="47"/>
        <v>0.87</v>
      </c>
      <c r="H256">
        <f t="shared" si="48"/>
        <v>597</v>
      </c>
      <c r="I256" s="17">
        <f t="shared" si="51"/>
        <v>2.9798074373568066E-2</v>
      </c>
      <c r="J256" s="17">
        <f t="shared" si="51"/>
        <v>3.1898394324995083E-2</v>
      </c>
      <c r="K256" s="17">
        <f t="shared" si="51"/>
        <v>5.2562520744978476E-2</v>
      </c>
      <c r="L256" s="17">
        <f t="shared" si="51"/>
        <v>6.6244814636254756E-2</v>
      </c>
      <c r="M256" s="17">
        <f t="shared" si="51"/>
        <v>3.9617795728149843E-2</v>
      </c>
    </row>
    <row r="257" spans="6:13" x14ac:dyDescent="0.2">
      <c r="F257">
        <v>871</v>
      </c>
      <c r="G257">
        <f t="shared" si="47"/>
        <v>0.871</v>
      </c>
      <c r="H257">
        <f t="shared" si="48"/>
        <v>598</v>
      </c>
      <c r="I257" s="17">
        <f t="shared" si="51"/>
        <v>2.9800792626312585E-2</v>
      </c>
      <c r="J257" s="17">
        <f t="shared" si="51"/>
        <v>3.1904825603667905E-2</v>
      </c>
      <c r="K257" s="17">
        <f t="shared" si="51"/>
        <v>5.2577534466824227E-2</v>
      </c>
      <c r="L257" s="17">
        <f t="shared" si="51"/>
        <v>6.6290532439084615E-2</v>
      </c>
      <c r="M257" s="17">
        <f t="shared" si="51"/>
        <v>3.9630444908779039E-2</v>
      </c>
    </row>
    <row r="258" spans="6:13" x14ac:dyDescent="0.2">
      <c r="F258">
        <v>872</v>
      </c>
      <c r="G258">
        <f t="shared" si="47"/>
        <v>0.872</v>
      </c>
      <c r="H258">
        <f t="shared" si="48"/>
        <v>599</v>
      </c>
      <c r="I258" s="17">
        <f t="shared" si="51"/>
        <v>2.980351760066904E-2</v>
      </c>
      <c r="J258" s="17">
        <f t="shared" si="51"/>
        <v>3.1911252344046945E-2</v>
      </c>
      <c r="K258" s="17">
        <f t="shared" si="51"/>
        <v>5.2592520919737748E-2</v>
      </c>
      <c r="L258" s="17">
        <f t="shared" si="51"/>
        <v>6.6336202911802047E-2</v>
      </c>
      <c r="M258" s="17">
        <f t="shared" si="51"/>
        <v>3.9643095287391773E-2</v>
      </c>
    </row>
    <row r="259" spans="6:13" x14ac:dyDescent="0.2">
      <c r="F259">
        <v>873</v>
      </c>
      <c r="G259">
        <f t="shared" si="47"/>
        <v>0.873</v>
      </c>
      <c r="H259">
        <f t="shared" si="48"/>
        <v>600</v>
      </c>
      <c r="I259" s="17">
        <f t="shared" ref="I259:M268" si="52">(I$151+I$152*$G259+I$153*($G259^2)+I$154*($G259^3)+I$155/($G259^2))/1000</f>
        <v>2.9806249287569621E-2</v>
      </c>
      <c r="J259" s="17">
        <f t="shared" si="52"/>
        <v>3.1917674529163546E-2</v>
      </c>
      <c r="K259" s="17">
        <f t="shared" si="52"/>
        <v>5.2607480157932353E-2</v>
      </c>
      <c r="L259" s="17">
        <f t="shared" si="52"/>
        <v>6.6381826057189522E-2</v>
      </c>
      <c r="M259" s="17">
        <f t="shared" si="52"/>
        <v>3.9655746844859903E-2</v>
      </c>
    </row>
    <row r="260" spans="6:13" x14ac:dyDescent="0.2">
      <c r="F260">
        <v>874</v>
      </c>
      <c r="G260">
        <f t="shared" si="47"/>
        <v>0.874</v>
      </c>
      <c r="H260">
        <f t="shared" si="48"/>
        <v>601</v>
      </c>
      <c r="I260" s="17">
        <f t="shared" si="52"/>
        <v>2.9808987677903274E-2</v>
      </c>
      <c r="J260" s="17">
        <f t="shared" si="52"/>
        <v>3.1924092142193126E-2</v>
      </c>
      <c r="K260" s="17">
        <f t="shared" si="52"/>
        <v>5.2622412235584087E-2</v>
      </c>
      <c r="L260" s="17">
        <f t="shared" si="52"/>
        <v>6.642740187821472E-2</v>
      </c>
      <c r="M260" s="17">
        <f t="shared" si="52"/>
        <v>3.9668399562077711E-2</v>
      </c>
    </row>
    <row r="261" spans="6:13" x14ac:dyDescent="0.2">
      <c r="F261">
        <v>875</v>
      </c>
      <c r="G261">
        <f t="shared" si="47"/>
        <v>0.875</v>
      </c>
      <c r="H261">
        <f t="shared" si="48"/>
        <v>602</v>
      </c>
      <c r="I261" s="17">
        <f t="shared" si="52"/>
        <v>2.9811732762515943E-2</v>
      </c>
      <c r="J261" s="17">
        <f t="shared" si="52"/>
        <v>3.1930505166454085E-2</v>
      </c>
      <c r="K261" s="17">
        <f t="shared" si="52"/>
        <v>5.2637317206831943E-2</v>
      </c>
      <c r="L261" s="17">
        <f t="shared" si="52"/>
        <v>6.6472930378029343E-2</v>
      </c>
      <c r="M261" s="17">
        <f t="shared" si="52"/>
        <v>3.9681053419961726E-2</v>
      </c>
    </row>
    <row r="262" spans="6:13" x14ac:dyDescent="0.2">
      <c r="F262">
        <v>876</v>
      </c>
      <c r="G262">
        <f t="shared" si="47"/>
        <v>0.876</v>
      </c>
      <c r="H262">
        <f t="shared" si="48"/>
        <v>603</v>
      </c>
      <c r="I262" s="17">
        <f t="shared" si="52"/>
        <v>2.9814484532210896E-2</v>
      </c>
      <c r="J262" s="17">
        <f t="shared" si="52"/>
        <v>3.1936913585406873E-2</v>
      </c>
      <c r="K262" s="17">
        <f t="shared" si="52"/>
        <v>5.2652195125778151E-2</v>
      </c>
      <c r="L262" s="17">
        <f t="shared" si="52"/>
        <v>6.6518411559967655E-2</v>
      </c>
      <c r="M262" s="17">
        <f t="shared" si="52"/>
        <v>3.9693708399450627E-2</v>
      </c>
    </row>
    <row r="263" spans="6:13" x14ac:dyDescent="0.2">
      <c r="F263">
        <v>877</v>
      </c>
      <c r="G263">
        <f t="shared" si="47"/>
        <v>0.877</v>
      </c>
      <c r="H263">
        <f t="shared" si="48"/>
        <v>604</v>
      </c>
      <c r="I263" s="17">
        <f t="shared" si="52"/>
        <v>2.981724297774899E-2</v>
      </c>
      <c r="J263" s="17">
        <f t="shared" si="52"/>
        <v>3.1943317382653033E-2</v>
      </c>
      <c r="K263" s="17">
        <f t="shared" si="52"/>
        <v>5.2667046046488336E-2</v>
      </c>
      <c r="L263" s="17">
        <f t="shared" si="52"/>
        <v>6.6563845427545468E-2</v>
      </c>
      <c r="M263" s="17">
        <f t="shared" si="52"/>
        <v>3.9706364481505024E-2</v>
      </c>
    </row>
    <row r="264" spans="6:13" x14ac:dyDescent="0.2">
      <c r="F264">
        <v>878</v>
      </c>
      <c r="G264">
        <f t="shared" si="47"/>
        <v>0.878</v>
      </c>
      <c r="H264">
        <f t="shared" si="48"/>
        <v>605</v>
      </c>
      <c r="I264" s="17">
        <f t="shared" si="52"/>
        <v>2.9820008089848991E-2</v>
      </c>
      <c r="J264" s="17">
        <f t="shared" si="52"/>
        <v>3.1949716541934188E-2</v>
      </c>
      <c r="K264" s="17">
        <f t="shared" si="52"/>
        <v>5.2681870022991933E-2</v>
      </c>
      <c r="L264" s="17">
        <f t="shared" si="52"/>
        <v>6.66092319844587E-2</v>
      </c>
      <c r="M264" s="17">
        <f t="shared" si="52"/>
        <v>3.9719021647107354E-2</v>
      </c>
    </row>
    <row r="265" spans="6:13" x14ac:dyDescent="0.2">
      <c r="F265">
        <v>879</v>
      </c>
      <c r="G265">
        <f t="shared" si="47"/>
        <v>0.879</v>
      </c>
      <c r="H265">
        <f t="shared" si="48"/>
        <v>606</v>
      </c>
      <c r="I265" s="17">
        <f t="shared" si="52"/>
        <v>2.9822779859187833E-2</v>
      </c>
      <c r="J265" s="17">
        <f t="shared" si="52"/>
        <v>3.1956111047131135E-2</v>
      </c>
      <c r="K265" s="17">
        <f t="shared" si="52"/>
        <v>5.2696667109282259E-2</v>
      </c>
      <c r="L265" s="17">
        <f t="shared" si="52"/>
        <v>6.6654571234582349E-2</v>
      </c>
      <c r="M265" s="17">
        <f t="shared" si="52"/>
        <v>3.9731679877261721E-2</v>
      </c>
    </row>
    <row r="266" spans="6:13" x14ac:dyDescent="0.2">
      <c r="F266">
        <v>880</v>
      </c>
      <c r="G266">
        <f t="shared" si="47"/>
        <v>0.88</v>
      </c>
      <c r="H266">
        <f t="shared" si="48"/>
        <v>607</v>
      </c>
      <c r="I266" s="17">
        <f t="shared" si="52"/>
        <v>2.9825558276400925E-2</v>
      </c>
      <c r="J266" s="17">
        <f t="shared" si="52"/>
        <v>3.1962500882262879E-2</v>
      </c>
      <c r="K266" s="17">
        <f t="shared" si="52"/>
        <v>5.2711437359316896E-2</v>
      </c>
      <c r="L266" s="17">
        <f t="shared" si="52"/>
        <v>6.6699863181969063E-2</v>
      </c>
      <c r="M266" s="17">
        <f t="shared" si="52"/>
        <v>3.9744339152993718E-2</v>
      </c>
    </row>
    <row r="267" spans="6:13" x14ac:dyDescent="0.2">
      <c r="F267">
        <v>881</v>
      </c>
      <c r="G267">
        <f t="shared" si="47"/>
        <v>0.88100000000000001</v>
      </c>
      <c r="H267">
        <f t="shared" si="48"/>
        <v>608</v>
      </c>
      <c r="I267" s="17">
        <f t="shared" si="52"/>
        <v>2.9828343332082424E-2</v>
      </c>
      <c r="J267" s="17">
        <f t="shared" si="52"/>
        <v>3.1968886031485663E-2</v>
      </c>
      <c r="K267" s="17">
        <f t="shared" si="52"/>
        <v>5.2726180827017834E-2</v>
      </c>
      <c r="L267" s="17">
        <f t="shared" si="52"/>
        <v>6.6745107830848055E-2</v>
      </c>
      <c r="M267" s="17">
        <f t="shared" si="52"/>
        <v>3.9756999455350349E-2</v>
      </c>
    </row>
    <row r="268" spans="6:13" x14ac:dyDescent="0.2">
      <c r="F268">
        <v>882</v>
      </c>
      <c r="G268">
        <f t="shared" si="47"/>
        <v>0.88200000000000001</v>
      </c>
      <c r="H268">
        <f t="shared" si="48"/>
        <v>609</v>
      </c>
      <c r="I268" s="17">
        <f t="shared" si="52"/>
        <v>2.9831135016785512E-2</v>
      </c>
      <c r="J268" s="17">
        <f t="shared" si="52"/>
        <v>3.1975266479092088E-2</v>
      </c>
      <c r="K268" s="17">
        <f t="shared" si="52"/>
        <v>5.2740897566271781E-2</v>
      </c>
      <c r="L268" s="17">
        <f t="shared" si="52"/>
        <v>6.6790305185623955E-2</v>
      </c>
      <c r="M268" s="17">
        <f t="shared" si="52"/>
        <v>3.9769660765399818E-2</v>
      </c>
    </row>
    <row r="269" spans="6:13" x14ac:dyDescent="0.2">
      <c r="F269">
        <v>883</v>
      </c>
      <c r="G269">
        <f t="shared" si="47"/>
        <v>0.88300000000000001</v>
      </c>
      <c r="H269">
        <f t="shared" si="48"/>
        <v>610</v>
      </c>
      <c r="I269" s="17">
        <f t="shared" ref="I269:M278" si="53">(I$151+I$152*$G269+I$153*($G269^2)+I$154*($G269^3)+I$155/($G269^2))/1000</f>
        <v>2.9833933321022681E-2</v>
      </c>
      <c r="J269" s="17">
        <f t="shared" si="53"/>
        <v>3.1981642209510143E-2</v>
      </c>
      <c r="K269" s="17">
        <f t="shared" si="53"/>
        <v>5.2755587630930384E-2</v>
      </c>
      <c r="L269" s="17">
        <f t="shared" si="53"/>
        <v>6.6835455250875447E-2</v>
      </c>
      <c r="M269" s="17">
        <f t="shared" si="53"/>
        <v>3.9782323064231406E-2</v>
      </c>
    </row>
    <row r="270" spans="6:13" x14ac:dyDescent="0.2">
      <c r="F270">
        <v>884</v>
      </c>
      <c r="G270">
        <f t="shared" si="47"/>
        <v>0.88400000000000001</v>
      </c>
      <c r="H270">
        <f t="shared" si="48"/>
        <v>611</v>
      </c>
      <c r="I270" s="17">
        <f t="shared" si="53"/>
        <v>2.9836738235265996E-2</v>
      </c>
      <c r="J270" s="17">
        <f t="shared" si="53"/>
        <v>3.1988013207302324E-2</v>
      </c>
      <c r="K270" s="17">
        <f t="shared" si="53"/>
        <v>5.2770251074810419E-2</v>
      </c>
      <c r="L270" s="17">
        <f t="shared" si="53"/>
        <v>6.688055803135419E-2</v>
      </c>
      <c r="M270" s="17">
        <f t="shared" si="53"/>
        <v>3.9794986332955348E-2</v>
      </c>
    </row>
    <row r="271" spans="6:13" x14ac:dyDescent="0.2">
      <c r="F271">
        <v>885</v>
      </c>
      <c r="G271">
        <f t="shared" si="47"/>
        <v>0.88500000000000001</v>
      </c>
      <c r="H271">
        <f t="shared" si="48"/>
        <v>612</v>
      </c>
      <c r="I271" s="17">
        <f t="shared" si="53"/>
        <v>2.9839549749947406E-2</v>
      </c>
      <c r="J271" s="17">
        <f t="shared" si="53"/>
        <v>3.1994379457164671E-2</v>
      </c>
      <c r="K271" s="17">
        <f t="shared" si="53"/>
        <v>5.2784887951694129E-2</v>
      </c>
      <c r="L271" s="17">
        <f t="shared" si="53"/>
        <v>6.6925613531983674E-2</v>
      </c>
      <c r="M271" s="17">
        <f t="shared" si="53"/>
        <v>3.9807650552702661E-2</v>
      </c>
    </row>
    <row r="272" spans="6:13" x14ac:dyDescent="0.2">
      <c r="F272">
        <v>886</v>
      </c>
      <c r="G272">
        <f t="shared" si="47"/>
        <v>0.88600000000000001</v>
      </c>
      <c r="H272">
        <f t="shared" si="48"/>
        <v>613</v>
      </c>
      <c r="I272" s="17">
        <f t="shared" si="53"/>
        <v>2.9842367855458948E-2</v>
      </c>
      <c r="J272" s="17">
        <f t="shared" si="53"/>
        <v>3.200074094392593E-2</v>
      </c>
      <c r="K272" s="17">
        <f t="shared" si="53"/>
        <v>5.279949831532936E-2</v>
      </c>
      <c r="L272" s="17">
        <f t="shared" si="53"/>
        <v>6.6970621757858007E-2</v>
      </c>
      <c r="M272" s="17">
        <f t="shared" si="53"/>
        <v>3.9820315704625027E-2</v>
      </c>
    </row>
    <row r="273" spans="6:13" x14ac:dyDescent="0.2">
      <c r="F273">
        <v>887</v>
      </c>
      <c r="G273">
        <f t="shared" si="47"/>
        <v>0.88700000000000001</v>
      </c>
      <c r="H273">
        <f t="shared" si="48"/>
        <v>614</v>
      </c>
      <c r="I273" s="17">
        <f t="shared" si="53"/>
        <v>2.9845192542153093E-2</v>
      </c>
      <c r="J273" s="17">
        <f t="shared" si="53"/>
        <v>3.2007097652546598E-2</v>
      </c>
      <c r="K273" s="17">
        <f t="shared" si="53"/>
        <v>5.2814082219429827E-2</v>
      </c>
      <c r="L273" s="17">
        <f t="shared" si="53"/>
        <v>6.7015582714240823E-2</v>
      </c>
      <c r="M273" s="17">
        <f t="shared" si="53"/>
        <v>3.9832981769894638E-2</v>
      </c>
    </row>
    <row r="274" spans="6:13" x14ac:dyDescent="0.2">
      <c r="F274">
        <v>888</v>
      </c>
      <c r="G274">
        <f t="shared" si="47"/>
        <v>0.88800000000000001</v>
      </c>
      <c r="H274">
        <f t="shared" si="48"/>
        <v>615</v>
      </c>
      <c r="I274" s="17">
        <f t="shared" si="53"/>
        <v>2.984802380034296E-2</v>
      </c>
      <c r="J274" s="17">
        <f t="shared" si="53"/>
        <v>3.2013449568118066E-2</v>
      </c>
      <c r="K274" s="17">
        <f t="shared" si="53"/>
        <v>5.2828639717675367E-2</v>
      </c>
      <c r="L274" s="17">
        <f t="shared" si="53"/>
        <v>6.7060496406564002E-2</v>
      </c>
      <c r="M274" s="17">
        <f t="shared" si="53"/>
        <v>3.9845648729704058E-2</v>
      </c>
    </row>
    <row r="275" spans="6:13" x14ac:dyDescent="0.2">
      <c r="F275">
        <v>889</v>
      </c>
      <c r="G275">
        <f t="shared" si="47"/>
        <v>0.88900000000000001</v>
      </c>
      <c r="H275">
        <f t="shared" si="48"/>
        <v>616</v>
      </c>
      <c r="I275" s="17">
        <f t="shared" si="53"/>
        <v>2.9850861620302614E-2</v>
      </c>
      <c r="J275" s="17">
        <f t="shared" si="53"/>
        <v>3.2019796675861724E-2</v>
      </c>
      <c r="K275" s="17">
        <f t="shared" si="53"/>
        <v>5.2843170863712131E-2</v>
      </c>
      <c r="L275" s="17">
        <f t="shared" si="53"/>
        <v>6.7105362840426688E-2</v>
      </c>
      <c r="M275" s="17">
        <f t="shared" si="53"/>
        <v>3.9858316565266096E-2</v>
      </c>
    </row>
    <row r="276" spans="6:13" x14ac:dyDescent="0.2">
      <c r="F276">
        <v>890</v>
      </c>
      <c r="G276">
        <f t="shared" si="47"/>
        <v>0.89</v>
      </c>
      <c r="H276">
        <f t="shared" si="48"/>
        <v>617</v>
      </c>
      <c r="I276" s="17">
        <f t="shared" si="53"/>
        <v>2.9853705992267287E-2</v>
      </c>
      <c r="J276" s="17">
        <f t="shared" si="53"/>
        <v>3.2026138961128076E-2</v>
      </c>
      <c r="K276" s="17">
        <f t="shared" si="53"/>
        <v>5.2857675711152866E-2</v>
      </c>
      <c r="L276" s="17">
        <f t="shared" si="53"/>
        <v>6.715018202159409E-2</v>
      </c>
      <c r="M276" s="17">
        <f t="shared" si="53"/>
        <v>3.9870985257813657E-2</v>
      </c>
    </row>
    <row r="277" spans="6:13" x14ac:dyDescent="0.2">
      <c r="F277">
        <v>891</v>
      </c>
      <c r="G277">
        <f t="shared" si="47"/>
        <v>0.89100000000000001</v>
      </c>
      <c r="H277">
        <f t="shared" si="48"/>
        <v>618</v>
      </c>
      <c r="I277" s="17">
        <f t="shared" si="53"/>
        <v>2.9856556906433698E-2</v>
      </c>
      <c r="J277" s="17">
        <f t="shared" si="53"/>
        <v>3.203247640939591E-2</v>
      </c>
      <c r="K277" s="17">
        <f t="shared" si="53"/>
        <v>5.2872154313577044E-2</v>
      </c>
      <c r="L277" s="17">
        <f t="shared" si="53"/>
        <v>6.7194953955996353E-2</v>
      </c>
      <c r="M277" s="17">
        <f t="shared" si="53"/>
        <v>3.9883654788599628E-2</v>
      </c>
    </row>
    <row r="278" spans="6:13" x14ac:dyDescent="0.2">
      <c r="F278">
        <v>892</v>
      </c>
      <c r="G278">
        <f t="shared" si="47"/>
        <v>0.89200000000000002</v>
      </c>
      <c r="H278">
        <f t="shared" si="48"/>
        <v>619</v>
      </c>
      <c r="I278" s="17">
        <f t="shared" si="53"/>
        <v>2.9859414352960252E-2</v>
      </c>
      <c r="J278" s="17">
        <f t="shared" si="53"/>
        <v>3.2038809006271395E-2</v>
      </c>
      <c r="K278" s="17">
        <f t="shared" si="53"/>
        <v>5.2886606724531188E-2</v>
      </c>
      <c r="L278" s="17">
        <f t="shared" si="53"/>
        <v>6.7239678649727463E-2</v>
      </c>
      <c r="M278" s="17">
        <f t="shared" si="53"/>
        <v>3.9896325138896724E-2</v>
      </c>
    </row>
    <row r="279" spans="6:13" x14ac:dyDescent="0.2">
      <c r="F279">
        <v>893</v>
      </c>
      <c r="G279">
        <f t="shared" si="47"/>
        <v>0.89300000000000002</v>
      </c>
      <c r="H279">
        <f t="shared" si="48"/>
        <v>620</v>
      </c>
      <c r="I279" s="17">
        <f t="shared" ref="I279:M288" si="54">(I$151+I$152*$G279+I$153*($G279^2)+I$154*($G279^3)+I$155/($G279^2))/1000</f>
        <v>2.9862278321967358E-2</v>
      </c>
      <c r="J279" s="17">
        <f t="shared" si="54"/>
        <v>3.2045136737487212E-2</v>
      </c>
      <c r="K279" s="17">
        <f t="shared" si="54"/>
        <v>5.2901032997529053E-2</v>
      </c>
      <c r="L279" s="17">
        <f t="shared" si="54"/>
        <v>6.7284356109044194E-2</v>
      </c>
      <c r="M279" s="17">
        <f t="shared" si="54"/>
        <v>3.9908996289997348E-2</v>
      </c>
    </row>
    <row r="280" spans="6:13" x14ac:dyDescent="0.2">
      <c r="F280">
        <v>894</v>
      </c>
      <c r="G280">
        <f t="shared" si="47"/>
        <v>0.89400000000000002</v>
      </c>
      <c r="H280">
        <f t="shared" si="48"/>
        <v>621</v>
      </c>
      <c r="I280" s="17">
        <f t="shared" si="54"/>
        <v>2.9865148803537626E-2</v>
      </c>
      <c r="J280" s="17">
        <f t="shared" si="54"/>
        <v>3.20514595889018E-2</v>
      </c>
      <c r="K280" s="17">
        <f t="shared" si="54"/>
        <v>5.2915433186051811E-2</v>
      </c>
      <c r="L280" s="17">
        <f t="shared" si="54"/>
        <v>6.7328986340364938E-2</v>
      </c>
      <c r="M280" s="17">
        <f t="shared" si="54"/>
        <v>3.9921668223213462E-2</v>
      </c>
    </row>
    <row r="281" spans="6:13" x14ac:dyDescent="0.2">
      <c r="F281">
        <v>895</v>
      </c>
      <c r="G281">
        <f t="shared" si="47"/>
        <v>0.89500000000000002</v>
      </c>
      <c r="H281">
        <f t="shared" si="48"/>
        <v>622</v>
      </c>
      <c r="I281" s="17">
        <f t="shared" si="54"/>
        <v>2.9868025787716135E-2</v>
      </c>
      <c r="J281" s="17">
        <f t="shared" si="54"/>
        <v>3.2057777546498363E-2</v>
      </c>
      <c r="K281" s="17">
        <f t="shared" si="54"/>
        <v>5.2929807343548338E-2</v>
      </c>
      <c r="L281" s="17">
        <f t="shared" si="54"/>
        <v>6.7373569350268642E-2</v>
      </c>
      <c r="M281" s="17">
        <f t="shared" si="54"/>
        <v>3.9934340919876521E-2</v>
      </c>
    </row>
    <row r="282" spans="6:13" x14ac:dyDescent="0.2">
      <c r="F282">
        <v>896</v>
      </c>
      <c r="G282">
        <f t="shared" si="47"/>
        <v>0.89600000000000002</v>
      </c>
      <c r="H282">
        <f t="shared" si="48"/>
        <v>623</v>
      </c>
      <c r="I282" s="17">
        <f t="shared" si="54"/>
        <v>2.9870909264510737E-2</v>
      </c>
      <c r="J282" s="17">
        <f t="shared" si="54"/>
        <v>3.2064090596384175E-2</v>
      </c>
      <c r="K282" s="17">
        <f t="shared" si="54"/>
        <v>5.2944155523435364E-2</v>
      </c>
      <c r="L282" s="17">
        <f t="shared" si="54"/>
        <v>6.7418105145493804E-2</v>
      </c>
      <c r="M282" s="17">
        <f t="shared" si="54"/>
        <v>3.9947014361337234E-2</v>
      </c>
    </row>
    <row r="283" spans="6:13" x14ac:dyDescent="0.2">
      <c r="F283">
        <v>897</v>
      </c>
      <c r="G283">
        <f t="shared" si="47"/>
        <v>0.89700000000000002</v>
      </c>
      <c r="H283">
        <f t="shared" si="48"/>
        <v>624</v>
      </c>
      <c r="I283" s="17">
        <f t="shared" si="54"/>
        <v>2.9873799223892238E-2</v>
      </c>
      <c r="J283" s="17">
        <f t="shared" si="54"/>
        <v>3.2070398724789687E-2</v>
      </c>
      <c r="K283" s="17">
        <f t="shared" si="54"/>
        <v>5.2958477779097714E-2</v>
      </c>
      <c r="L283" s="17">
        <f t="shared" si="54"/>
        <v>6.7462593732937323E-2</v>
      </c>
      <c r="M283" s="17">
        <f t="shared" si="54"/>
        <v>3.9959688528965469E-2</v>
      </c>
    </row>
    <row r="284" spans="6:13" x14ac:dyDescent="0.2">
      <c r="F284">
        <v>898</v>
      </c>
      <c r="G284">
        <f t="shared" si="47"/>
        <v>0.89800000000000002</v>
      </c>
      <c r="H284">
        <f t="shared" si="48"/>
        <v>625</v>
      </c>
      <c r="I284" s="17">
        <f t="shared" si="54"/>
        <v>2.9876695655794663E-2</v>
      </c>
      <c r="J284" s="17">
        <f t="shared" si="54"/>
        <v>3.2076701918067677E-2</v>
      </c>
      <c r="K284" s="17">
        <f t="shared" si="54"/>
        <v>5.2972774163888556E-2</v>
      </c>
      <c r="L284" s="17">
        <f t="shared" si="54"/>
        <v>6.7507035119653461E-2</v>
      </c>
      <c r="M284" s="17">
        <f t="shared" si="54"/>
        <v>3.9972363404150231E-2</v>
      </c>
    </row>
    <row r="285" spans="6:13" x14ac:dyDescent="0.2">
      <c r="F285">
        <v>899</v>
      </c>
      <c r="G285">
        <f t="shared" si="47"/>
        <v>0.89900000000000002</v>
      </c>
      <c r="H285">
        <f t="shared" si="48"/>
        <v>626</v>
      </c>
      <c r="I285" s="17">
        <f t="shared" si="54"/>
        <v>2.9879598550115523E-2</v>
      </c>
      <c r="J285" s="17">
        <f t="shared" si="54"/>
        <v>3.2083000162692513E-2</v>
      </c>
      <c r="K285" s="17">
        <f t="shared" si="54"/>
        <v>5.298704473112955E-2</v>
      </c>
      <c r="L285" s="17">
        <f t="shared" si="54"/>
        <v>6.7551429312852809E-2</v>
      </c>
      <c r="M285" s="17">
        <f t="shared" si="54"/>
        <v>3.9985038968299344E-2</v>
      </c>
    </row>
    <row r="286" spans="6:13" x14ac:dyDescent="0.2">
      <c r="F286">
        <v>900</v>
      </c>
      <c r="G286">
        <f t="shared" si="47"/>
        <v>0.9</v>
      </c>
      <c r="H286">
        <f t="shared" si="48"/>
        <v>627</v>
      </c>
      <c r="I286" s="17">
        <f t="shared" si="54"/>
        <v>2.9882507896716044E-2</v>
      </c>
      <c r="J286" s="17">
        <f t="shared" si="54"/>
        <v>3.2089293445259258E-2</v>
      </c>
      <c r="K286" s="17">
        <f t="shared" si="54"/>
        <v>5.3001289534111116E-2</v>
      </c>
      <c r="L286" s="17">
        <f t="shared" si="54"/>
        <v>6.7595776319901227E-2</v>
      </c>
      <c r="M286" s="17">
        <f t="shared" si="54"/>
        <v>3.9997715202839498E-2</v>
      </c>
    </row>
    <row r="287" spans="6:13" x14ac:dyDescent="0.2">
      <c r="F287">
        <v>901</v>
      </c>
      <c r="G287">
        <f t="shared" ref="G287:G350" si="55">F287/1000</f>
        <v>0.90100000000000002</v>
      </c>
      <c r="H287">
        <f t="shared" si="48"/>
        <v>628</v>
      </c>
      <c r="I287" s="17">
        <f t="shared" si="54"/>
        <v>2.9885423685421419E-2</v>
      </c>
      <c r="J287" s="17">
        <f t="shared" si="54"/>
        <v>3.2095581752482942E-2</v>
      </c>
      <c r="K287" s="17">
        <f t="shared" si="54"/>
        <v>5.3015508626092583E-2</v>
      </c>
      <c r="L287" s="17">
        <f t="shared" si="54"/>
        <v>6.7640076148318878E-2</v>
      </c>
      <c r="M287" s="17">
        <f t="shared" si="54"/>
        <v>4.001039208921605E-2</v>
      </c>
    </row>
    <row r="288" spans="6:13" x14ac:dyDescent="0.2">
      <c r="F288">
        <v>902</v>
      </c>
      <c r="G288">
        <f t="shared" si="55"/>
        <v>0.90200000000000002</v>
      </c>
      <c r="H288">
        <f t="shared" si="48"/>
        <v>629</v>
      </c>
      <c r="I288" s="17">
        <f t="shared" si="54"/>
        <v>2.9888345906021012E-2</v>
      </c>
      <c r="J288" s="17">
        <f t="shared" si="54"/>
        <v>3.2101865071197694E-2</v>
      </c>
      <c r="K288" s="17">
        <f t="shared" si="54"/>
        <v>5.3029702060302442E-2</v>
      </c>
      <c r="L288" s="17">
        <f t="shared" si="54"/>
        <v>6.7684328805779098E-2</v>
      </c>
      <c r="M288" s="17">
        <f t="shared" si="54"/>
        <v>4.0023069608892854E-2</v>
      </c>
    </row>
    <row r="289" spans="6:13" x14ac:dyDescent="0.2">
      <c r="F289">
        <v>903</v>
      </c>
      <c r="G289">
        <f t="shared" si="55"/>
        <v>0.90300000000000002</v>
      </c>
      <c r="H289">
        <f t="shared" ref="H289:H352" si="56">F289-273</f>
        <v>630</v>
      </c>
      <c r="I289" s="17">
        <f t="shared" ref="I289:M298" si="57">(I$151+I$152*$G289+I$153*($G289^2)+I$154*($G289^3)+I$155/($G289^2))/1000</f>
        <v>2.9891274548268645E-2</v>
      </c>
      <c r="J289" s="17">
        <f t="shared" si="57"/>
        <v>3.2108143388356006E-2</v>
      </c>
      <c r="K289" s="17">
        <f t="shared" si="57"/>
        <v>5.3043869889938526E-2</v>
      </c>
      <c r="L289" s="17">
        <f t="shared" si="57"/>
        <v>6.7728534300107418E-2</v>
      </c>
      <c r="M289" s="17">
        <f t="shared" si="57"/>
        <v>4.0035747743352251E-2</v>
      </c>
    </row>
    <row r="290" spans="6:13" x14ac:dyDescent="0.2">
      <c r="F290">
        <v>904</v>
      </c>
      <c r="G290">
        <f t="shared" si="55"/>
        <v>0.90400000000000003</v>
      </c>
      <c r="H290">
        <f t="shared" si="56"/>
        <v>631</v>
      </c>
      <c r="I290" s="17">
        <f t="shared" si="57"/>
        <v>2.9894209601882788E-2</v>
      </c>
      <c r="J290" s="17">
        <f t="shared" si="57"/>
        <v>3.2114416691027943E-2</v>
      </c>
      <c r="K290" s="17">
        <f t="shared" si="57"/>
        <v>5.3058012168168245E-2</v>
      </c>
      <c r="L290" s="17">
        <f t="shared" si="57"/>
        <v>6.7772692639280568E-2</v>
      </c>
      <c r="M290" s="17">
        <f t="shared" si="57"/>
        <v>4.0048426474094831E-2</v>
      </c>
    </row>
    <row r="291" spans="6:13" x14ac:dyDescent="0.2">
      <c r="F291">
        <v>905</v>
      </c>
      <c r="G291">
        <f t="shared" si="55"/>
        <v>0.90500000000000003</v>
      </c>
      <c r="H291">
        <f t="shared" si="56"/>
        <v>632</v>
      </c>
      <c r="I291" s="17">
        <f t="shared" si="57"/>
        <v>2.9897151056546858E-2</v>
      </c>
      <c r="J291" s="17">
        <f t="shared" si="57"/>
        <v>3.2120684966400304E-2</v>
      </c>
      <c r="K291" s="17">
        <f t="shared" si="57"/>
        <v>5.3072128948128766E-2</v>
      </c>
      <c r="L291" s="17">
        <f t="shared" si="57"/>
        <v>6.7816803831425521E-2</v>
      </c>
      <c r="M291" s="17">
        <f t="shared" si="57"/>
        <v>4.0061105782639418E-2</v>
      </c>
    </row>
    <row r="292" spans="6:13" x14ac:dyDescent="0.2">
      <c r="F292">
        <v>906</v>
      </c>
      <c r="G292">
        <f t="shared" si="55"/>
        <v>0.90600000000000003</v>
      </c>
      <c r="H292">
        <f t="shared" si="56"/>
        <v>633</v>
      </c>
      <c r="I292" s="17">
        <f t="shared" si="57"/>
        <v>2.9900098901909353E-2</v>
      </c>
      <c r="J292" s="17">
        <f t="shared" si="57"/>
        <v>3.2126948201775946E-2</v>
      </c>
      <c r="K292" s="17">
        <f t="shared" si="57"/>
        <v>5.3086220282927185E-2</v>
      </c>
      <c r="L292" s="17">
        <f t="shared" si="57"/>
        <v>6.786086788481839E-2</v>
      </c>
      <c r="M292" s="17">
        <f t="shared" si="57"/>
        <v>4.0073785650522845E-2</v>
      </c>
    </row>
    <row r="293" spans="6:13" x14ac:dyDescent="0.2">
      <c r="F293">
        <v>907</v>
      </c>
      <c r="G293">
        <f t="shared" si="55"/>
        <v>0.90700000000000003</v>
      </c>
      <c r="H293">
        <f t="shared" si="56"/>
        <v>634</v>
      </c>
      <c r="I293" s="17">
        <f t="shared" si="57"/>
        <v>2.9903053127584182E-2</v>
      </c>
      <c r="J293" s="17">
        <f t="shared" si="57"/>
        <v>3.2133206384572913E-2</v>
      </c>
      <c r="K293" s="17">
        <f t="shared" si="57"/>
        <v>5.3100286225640753E-2</v>
      </c>
      <c r="L293" s="17">
        <f t="shared" si="57"/>
        <v>6.7904884807883537E-2</v>
      </c>
      <c r="M293" s="17">
        <f t="shared" si="57"/>
        <v>4.0086466059299899E-2</v>
      </c>
    </row>
    <row r="294" spans="6:13" x14ac:dyDescent="0.2">
      <c r="F294">
        <v>908</v>
      </c>
      <c r="G294">
        <f t="shared" si="55"/>
        <v>0.90800000000000003</v>
      </c>
      <c r="H294">
        <f t="shared" si="56"/>
        <v>635</v>
      </c>
      <c r="I294" s="17">
        <f t="shared" si="57"/>
        <v>2.9906013723150847E-2</v>
      </c>
      <c r="J294" s="17">
        <f t="shared" si="57"/>
        <v>3.2139459502323782E-2</v>
      </c>
      <c r="K294" s="17">
        <f t="shared" si="57"/>
        <v>5.3114326829317104E-2</v>
      </c>
      <c r="L294" s="17">
        <f t="shared" si="57"/>
        <v>6.7948854609192547E-2</v>
      </c>
      <c r="M294" s="17">
        <f t="shared" si="57"/>
        <v>4.0099146990543226E-2</v>
      </c>
    </row>
    <row r="295" spans="6:13" x14ac:dyDescent="0.2">
      <c r="F295">
        <v>909</v>
      </c>
      <c r="G295">
        <f t="shared" si="55"/>
        <v>0.90900000000000003</v>
      </c>
      <c r="H295">
        <f t="shared" si="56"/>
        <v>636</v>
      </c>
      <c r="I295" s="17">
        <f t="shared" si="57"/>
        <v>2.9908980678154631E-2</v>
      </c>
      <c r="J295" s="17">
        <f t="shared" si="57"/>
        <v>3.2145707542674803E-2</v>
      </c>
      <c r="K295" s="17">
        <f t="shared" si="57"/>
        <v>5.3128342146974414E-2</v>
      </c>
      <c r="L295" s="17">
        <f t="shared" si="57"/>
        <v>6.7992777297463267E-2</v>
      </c>
      <c r="M295" s="17">
        <f t="shared" si="57"/>
        <v>4.011182842584312E-2</v>
      </c>
    </row>
    <row r="296" spans="6:13" x14ac:dyDescent="0.2">
      <c r="F296">
        <v>910</v>
      </c>
      <c r="G296">
        <f t="shared" si="55"/>
        <v>0.91</v>
      </c>
      <c r="H296">
        <f t="shared" si="56"/>
        <v>637</v>
      </c>
      <c r="I296" s="17">
        <f t="shared" si="57"/>
        <v>2.9911953982106922E-2</v>
      </c>
      <c r="J296" s="17">
        <f t="shared" si="57"/>
        <v>3.2151950493385227E-2</v>
      </c>
      <c r="K296" s="17">
        <f t="shared" si="57"/>
        <v>5.3142332231601572E-2</v>
      </c>
      <c r="L296" s="17">
        <f t="shared" si="57"/>
        <v>6.8036652881558815E-2</v>
      </c>
      <c r="M296" s="17">
        <f t="shared" si="57"/>
        <v>4.0124510346807515E-2</v>
      </c>
    </row>
    <row r="297" spans="6:13" x14ac:dyDescent="0.2">
      <c r="F297">
        <v>911</v>
      </c>
      <c r="G297">
        <f t="shared" si="55"/>
        <v>0.91100000000000003</v>
      </c>
      <c r="H297">
        <f t="shared" si="56"/>
        <v>638</v>
      </c>
      <c r="I297" s="17">
        <f t="shared" si="57"/>
        <v>2.9914933624485354E-2</v>
      </c>
      <c r="J297" s="17">
        <f t="shared" si="57"/>
        <v>3.2158188342326532E-2</v>
      </c>
      <c r="K297" s="17">
        <f t="shared" si="57"/>
        <v>5.3156297136158437E-2</v>
      </c>
      <c r="L297" s="17">
        <f t="shared" si="57"/>
        <v>6.8080481370486695E-2</v>
      </c>
      <c r="M297" s="17">
        <f t="shared" si="57"/>
        <v>4.013719273506177E-2</v>
      </c>
    </row>
    <row r="298" spans="6:13" x14ac:dyDescent="0.2">
      <c r="F298">
        <v>912</v>
      </c>
      <c r="G298">
        <f t="shared" si="55"/>
        <v>0.91200000000000003</v>
      </c>
      <c r="H298">
        <f t="shared" si="56"/>
        <v>639</v>
      </c>
      <c r="I298" s="17">
        <f t="shared" si="57"/>
        <v>2.9917919594734037E-2</v>
      </c>
      <c r="J298" s="17">
        <f t="shared" si="57"/>
        <v>3.2164421077481666E-2</v>
      </c>
      <c r="K298" s="17">
        <f t="shared" si="57"/>
        <v>5.3170236913575954E-2</v>
      </c>
      <c r="L298" s="17">
        <f t="shared" si="57"/>
        <v>6.8124262773397767E-2</v>
      </c>
      <c r="M298" s="17">
        <f t="shared" si="57"/>
        <v>4.0149875572248646E-2</v>
      </c>
    </row>
    <row r="299" spans="6:13" x14ac:dyDescent="0.2">
      <c r="F299">
        <v>913</v>
      </c>
      <c r="G299">
        <f t="shared" si="55"/>
        <v>0.91300000000000003</v>
      </c>
      <c r="H299">
        <f t="shared" si="56"/>
        <v>640</v>
      </c>
      <c r="I299" s="17">
        <f t="shared" ref="I299:M308" si="58">(I$151+I$152*$G299+I$153*($G299^2)+I$154*($G299^3)+I$155/($G299^2))/1000</f>
        <v>2.9920911882263833E-2</v>
      </c>
      <c r="J299" s="17">
        <f t="shared" si="58"/>
        <v>3.2170648686944373E-2</v>
      </c>
      <c r="K299" s="17">
        <f t="shared" si="58"/>
        <v>5.318415161675643E-2</v>
      </c>
      <c r="L299" s="17">
        <f t="shared" si="58"/>
        <v>6.816799709958539E-2</v>
      </c>
      <c r="M299" s="17">
        <f t="shared" si="58"/>
        <v>4.0162558840028131E-2</v>
      </c>
    </row>
    <row r="300" spans="6:13" x14ac:dyDescent="0.2">
      <c r="F300">
        <v>914</v>
      </c>
      <c r="G300">
        <f t="shared" si="55"/>
        <v>0.91400000000000003</v>
      </c>
      <c r="H300">
        <f t="shared" si="56"/>
        <v>641</v>
      </c>
      <c r="I300" s="17">
        <f t="shared" si="58"/>
        <v>2.9923910476452504E-2</v>
      </c>
      <c r="J300" s="17">
        <f t="shared" si="58"/>
        <v>3.2176871158918395E-2</v>
      </c>
      <c r="K300" s="17">
        <f t="shared" si="58"/>
        <v>5.3198041298573667E-2</v>
      </c>
      <c r="L300" s="17">
        <f t="shared" si="58"/>
        <v>6.8211684358484403E-2</v>
      </c>
      <c r="M300" s="17">
        <f t="shared" si="58"/>
        <v>4.0175242520077335E-2</v>
      </c>
    </row>
    <row r="301" spans="6:13" x14ac:dyDescent="0.2">
      <c r="F301">
        <v>915</v>
      </c>
      <c r="G301">
        <f t="shared" si="55"/>
        <v>0.91500000000000004</v>
      </c>
      <c r="H301">
        <f t="shared" si="56"/>
        <v>642</v>
      </c>
      <c r="I301" s="17">
        <f t="shared" si="58"/>
        <v>2.9926915366644991E-2</v>
      </c>
      <c r="J301" s="17">
        <f t="shared" si="58"/>
        <v>3.2183088481716818E-2</v>
      </c>
      <c r="K301" s="17">
        <f t="shared" si="58"/>
        <v>5.3211906011873117E-2</v>
      </c>
      <c r="L301" s="17">
        <f t="shared" si="58"/>
        <v>6.8255324559670247E-2</v>
      </c>
      <c r="M301" s="17">
        <f t="shared" si="58"/>
        <v>4.0187926594090359E-2</v>
      </c>
    </row>
    <row r="302" spans="6:13" x14ac:dyDescent="0.2">
      <c r="F302">
        <v>916</v>
      </c>
      <c r="G302">
        <f t="shared" si="55"/>
        <v>0.91600000000000004</v>
      </c>
      <c r="H302">
        <f t="shared" si="56"/>
        <v>643</v>
      </c>
      <c r="I302" s="17">
        <f t="shared" si="58"/>
        <v>2.9929926542153564E-2</v>
      </c>
      <c r="J302" s="17">
        <f t="shared" si="58"/>
        <v>3.2189300643761291E-2</v>
      </c>
      <c r="K302" s="17">
        <f t="shared" si="58"/>
        <v>5.3225745809472161E-2</v>
      </c>
      <c r="L302" s="17">
        <f t="shared" si="58"/>
        <v>6.8298917712858009E-2</v>
      </c>
      <c r="M302" s="17">
        <f t="shared" si="58"/>
        <v>4.0200611043778284E-2</v>
      </c>
    </row>
    <row r="303" spans="6:13" x14ac:dyDescent="0.2">
      <c r="F303">
        <v>917</v>
      </c>
      <c r="G303">
        <f t="shared" si="55"/>
        <v>0.91700000000000004</v>
      </c>
      <c r="H303">
        <f t="shared" si="56"/>
        <v>644</v>
      </c>
      <c r="I303" s="17">
        <f t="shared" si="58"/>
        <v>2.9932943992258088E-2</v>
      </c>
      <c r="J303" s="17">
        <f t="shared" si="58"/>
        <v>3.2195507633581366E-2</v>
      </c>
      <c r="K303" s="17">
        <f t="shared" si="58"/>
        <v>5.3239560744160183E-2</v>
      </c>
      <c r="L303" s="17">
        <f t="shared" si="58"/>
        <v>6.8342463827901545E-2</v>
      </c>
      <c r="M303" s="17">
        <f t="shared" si="58"/>
        <v>4.0213295850868913E-2</v>
      </c>
    </row>
    <row r="304" spans="6:13" x14ac:dyDescent="0.2">
      <c r="F304">
        <v>918</v>
      </c>
      <c r="G304">
        <f t="shared" si="55"/>
        <v>0.91800000000000004</v>
      </c>
      <c r="H304">
        <f t="shared" si="56"/>
        <v>645</v>
      </c>
      <c r="I304" s="17">
        <f t="shared" si="58"/>
        <v>2.9935967706206233E-2</v>
      </c>
      <c r="J304" s="17">
        <f t="shared" si="58"/>
        <v>3.2201709439813792E-2</v>
      </c>
      <c r="K304" s="17">
        <f t="shared" si="58"/>
        <v>5.3253350868698861E-2</v>
      </c>
      <c r="L304" s="17">
        <f t="shared" si="58"/>
        <v>6.838596291479257E-2</v>
      </c>
      <c r="M304" s="17">
        <f t="shared" si="58"/>
        <v>4.0225980997106794E-2</v>
      </c>
    </row>
    <row r="305" spans="6:13" x14ac:dyDescent="0.2">
      <c r="F305">
        <v>919</v>
      </c>
      <c r="G305">
        <f t="shared" si="55"/>
        <v>0.91900000000000004</v>
      </c>
      <c r="H305">
        <f t="shared" si="56"/>
        <v>646</v>
      </c>
      <c r="I305" s="17">
        <f t="shared" si="58"/>
        <v>2.9938997673213643E-2</v>
      </c>
      <c r="J305" s="17">
        <f t="shared" si="58"/>
        <v>3.2207906051201746E-2</v>
      </c>
      <c r="K305" s="17">
        <f t="shared" si="58"/>
        <v>5.3267116235822261E-2</v>
      </c>
      <c r="L305" s="17">
        <f t="shared" si="58"/>
        <v>6.8429414983659786E-2</v>
      </c>
      <c r="M305" s="17">
        <f t="shared" si="58"/>
        <v>4.0238666464253017E-2</v>
      </c>
    </row>
    <row r="306" spans="6:13" x14ac:dyDescent="0.2">
      <c r="F306">
        <v>920</v>
      </c>
      <c r="G306">
        <f t="shared" si="55"/>
        <v>0.92</v>
      </c>
      <c r="H306">
        <f t="shared" si="56"/>
        <v>647</v>
      </c>
      <c r="I306" s="17">
        <f t="shared" si="58"/>
        <v>2.9942033882464181E-2</v>
      </c>
      <c r="J306" s="17">
        <f t="shared" si="58"/>
        <v>3.2214097456594266E-2</v>
      </c>
      <c r="K306" s="17">
        <f t="shared" si="58"/>
        <v>5.328085689823709E-2</v>
      </c>
      <c r="L306" s="17">
        <f t="shared" si="58"/>
        <v>6.8472820044767818E-2</v>
      </c>
      <c r="M306" s="17">
        <f t="shared" si="58"/>
        <v>4.0251352234085137E-2</v>
      </c>
    </row>
    <row r="307" spans="6:13" x14ac:dyDescent="0.2">
      <c r="F307">
        <v>921</v>
      </c>
      <c r="G307">
        <f t="shared" si="55"/>
        <v>0.92100000000000004</v>
      </c>
      <c r="H307">
        <f t="shared" si="56"/>
        <v>648</v>
      </c>
      <c r="I307" s="17">
        <f t="shared" si="58"/>
        <v>2.994507632311013E-2</v>
      </c>
      <c r="J307" s="17">
        <f t="shared" si="58"/>
        <v>3.2220283644945433E-2</v>
      </c>
      <c r="K307" s="17">
        <f t="shared" si="58"/>
        <v>5.3294572908622807E-2</v>
      </c>
      <c r="L307" s="17">
        <f t="shared" si="58"/>
        <v>6.8516178108516623E-2</v>
      </c>
      <c r="M307" s="17">
        <f t="shared" si="58"/>
        <v>4.0264038288397107E-2</v>
      </c>
    </row>
    <row r="308" spans="6:13" x14ac:dyDescent="0.2">
      <c r="F308">
        <v>922</v>
      </c>
      <c r="G308">
        <f t="shared" si="55"/>
        <v>0.92200000000000004</v>
      </c>
      <c r="H308">
        <f t="shared" si="56"/>
        <v>649</v>
      </c>
      <c r="I308" s="17">
        <f t="shared" si="58"/>
        <v>2.9948124984272375E-2</v>
      </c>
      <c r="J308" s="17">
        <f t="shared" si="58"/>
        <v>3.2226464605313754E-2</v>
      </c>
      <c r="K308" s="17">
        <f t="shared" si="58"/>
        <v>5.3308264319631815E-2</v>
      </c>
      <c r="L308" s="17">
        <f t="shared" si="58"/>
        <v>6.8559489185440373E-2</v>
      </c>
      <c r="M308" s="17">
        <f t="shared" si="58"/>
        <v>4.0276724608999094E-2</v>
      </c>
    </row>
    <row r="309" spans="6:13" x14ac:dyDescent="0.2">
      <c r="F309">
        <v>923</v>
      </c>
      <c r="G309">
        <f t="shared" si="55"/>
        <v>0.92300000000000004</v>
      </c>
      <c r="H309">
        <f t="shared" si="56"/>
        <v>650</v>
      </c>
      <c r="I309" s="17">
        <f t="shared" ref="I309:M318" si="59">(I$151+I$152*$G309+I$153*($G309^2)+I$154*($G309^3)+I$155/($G309^2))/1000</f>
        <v>2.9951179855040658E-2</v>
      </c>
      <c r="J309" s="17">
        <f t="shared" si="59"/>
        <v>3.223264032686151E-2</v>
      </c>
      <c r="K309" s="17">
        <f t="shared" si="59"/>
        <v>5.3321931183889698E-2</v>
      </c>
      <c r="L309" s="17">
        <f t="shared" si="59"/>
        <v>6.860275328620663E-2</v>
      </c>
      <c r="M309" s="17">
        <f t="shared" si="59"/>
        <v>4.0289411177717442E-2</v>
      </c>
    </row>
    <row r="310" spans="6:13" x14ac:dyDescent="0.2">
      <c r="F310">
        <v>924</v>
      </c>
      <c r="G310">
        <f t="shared" si="55"/>
        <v>0.92400000000000004</v>
      </c>
      <c r="H310">
        <f t="shared" si="56"/>
        <v>651</v>
      </c>
      <c r="I310" s="17">
        <f t="shared" si="59"/>
        <v>2.9954240924473702E-2</v>
      </c>
      <c r="J310" s="17">
        <f t="shared" si="59"/>
        <v>3.2238810798853962E-2</v>
      </c>
      <c r="K310" s="17">
        <f t="shared" si="59"/>
        <v>5.3335573553995291E-2</v>
      </c>
      <c r="L310" s="17">
        <f t="shared" si="59"/>
        <v>6.8645970421615576E-2</v>
      </c>
      <c r="M310" s="17">
        <f t="shared" si="59"/>
        <v>4.0302097976394544E-2</v>
      </c>
    </row>
    <row r="311" spans="6:13" x14ac:dyDescent="0.2">
      <c r="F311">
        <v>925</v>
      </c>
      <c r="G311">
        <f t="shared" si="55"/>
        <v>0.92500000000000004</v>
      </c>
      <c r="H311">
        <f t="shared" si="56"/>
        <v>652</v>
      </c>
      <c r="I311" s="17">
        <f t="shared" si="59"/>
        <v>2.9957308181599505E-2</v>
      </c>
      <c r="J311" s="17">
        <f t="shared" si="59"/>
        <v>3.2244976010658871E-2</v>
      </c>
      <c r="K311" s="17">
        <f t="shared" si="59"/>
        <v>5.3349191482520986E-2</v>
      </c>
      <c r="L311" s="17">
        <f t="shared" si="59"/>
        <v>6.8689140602599022E-2</v>
      </c>
      <c r="M311" s="17">
        <f t="shared" si="59"/>
        <v>4.0314784986888695E-2</v>
      </c>
    </row>
    <row r="312" spans="6:13" x14ac:dyDescent="0.2">
      <c r="F312">
        <v>926</v>
      </c>
      <c r="G312">
        <f t="shared" si="55"/>
        <v>0.92600000000000005</v>
      </c>
      <c r="H312">
        <f t="shared" si="56"/>
        <v>653</v>
      </c>
      <c r="I312" s="17">
        <f t="shared" si="59"/>
        <v>2.9960381615415456E-2</v>
      </c>
      <c r="J312" s="17">
        <f t="shared" si="59"/>
        <v>3.2251135951745662E-2</v>
      </c>
      <c r="K312" s="17">
        <f t="shared" si="59"/>
        <v>5.3362785022012756E-2</v>
      </c>
      <c r="L312" s="17">
        <f t="shared" si="59"/>
        <v>6.8732263840219701E-2</v>
      </c>
      <c r="M312" s="17">
        <f t="shared" si="59"/>
        <v>4.0327472191074083E-2</v>
      </c>
    </row>
    <row r="313" spans="6:13" x14ac:dyDescent="0.2">
      <c r="F313">
        <v>927</v>
      </c>
      <c r="G313">
        <f t="shared" si="55"/>
        <v>0.92700000000000005</v>
      </c>
      <c r="H313">
        <f t="shared" si="56"/>
        <v>654</v>
      </c>
      <c r="I313" s="17">
        <f t="shared" si="59"/>
        <v>2.9963461214888597E-2</v>
      </c>
      <c r="J313" s="17">
        <f t="shared" si="59"/>
        <v>3.2257290611684836E-2</v>
      </c>
      <c r="K313" s="17">
        <f t="shared" si="59"/>
        <v>5.3376354224990444E-2</v>
      </c>
      <c r="L313" s="17">
        <f t="shared" si="59"/>
        <v>6.877534014567023E-2</v>
      </c>
      <c r="M313" s="17">
        <f t="shared" si="59"/>
        <v>4.0340159570840591E-2</v>
      </c>
    </row>
    <row r="314" spans="6:13" x14ac:dyDescent="0.2">
      <c r="F314">
        <v>928</v>
      </c>
      <c r="G314">
        <f t="shared" si="55"/>
        <v>0.92800000000000005</v>
      </c>
      <c r="H314">
        <f t="shared" si="56"/>
        <v>655</v>
      </c>
      <c r="I314" s="17">
        <f t="shared" si="59"/>
        <v>2.9966546968955766E-2</v>
      </c>
      <c r="J314" s="17">
        <f t="shared" si="59"/>
        <v>3.2263439980147364E-2</v>
      </c>
      <c r="K314" s="17">
        <f t="shared" si="59"/>
        <v>5.3389899143947837E-2</v>
      </c>
      <c r="L314" s="17">
        <f t="shared" si="59"/>
        <v>6.8818369530272525E-2</v>
      </c>
      <c r="M314" s="17">
        <f t="shared" si="59"/>
        <v>4.0352847108093746E-2</v>
      </c>
    </row>
    <row r="315" spans="6:13" x14ac:dyDescent="0.2">
      <c r="F315">
        <v>929</v>
      </c>
      <c r="G315">
        <f t="shared" si="55"/>
        <v>0.92900000000000005</v>
      </c>
      <c r="H315">
        <f t="shared" si="56"/>
        <v>656</v>
      </c>
      <c r="I315" s="17">
        <f t="shared" si="59"/>
        <v>2.9969638866523842E-2</v>
      </c>
      <c r="J315" s="17">
        <f t="shared" si="59"/>
        <v>3.2269584046903908E-2</v>
      </c>
      <c r="K315" s="17">
        <f t="shared" si="59"/>
        <v>5.3403419831352952E-2</v>
      </c>
      <c r="L315" s="17">
        <f t="shared" si="59"/>
        <v>6.8861352005476675E-2</v>
      </c>
      <c r="M315" s="17">
        <f t="shared" si="59"/>
        <v>4.0365534784754631E-2</v>
      </c>
    </row>
    <row r="316" spans="6:13" x14ac:dyDescent="0.2">
      <c r="F316">
        <v>930</v>
      </c>
      <c r="G316">
        <f t="shared" si="55"/>
        <v>0.93</v>
      </c>
      <c r="H316">
        <f t="shared" si="56"/>
        <v>657</v>
      </c>
      <c r="I316" s="17">
        <f t="shared" si="59"/>
        <v>2.997273689646987E-2</v>
      </c>
      <c r="J316" s="17">
        <f t="shared" si="59"/>
        <v>3.227572280182435E-2</v>
      </c>
      <c r="K316" s="17">
        <f t="shared" si="59"/>
        <v>5.3416916339648075E-2</v>
      </c>
      <c r="L316" s="17">
        <f t="shared" si="59"/>
        <v>6.8904287582860352E-2</v>
      </c>
      <c r="M316" s="17">
        <f t="shared" si="59"/>
        <v>4.0378222582759721E-2</v>
      </c>
    </row>
    <row r="317" spans="6:13" x14ac:dyDescent="0.2">
      <c r="F317">
        <v>931</v>
      </c>
      <c r="G317">
        <f t="shared" si="55"/>
        <v>0.93100000000000005</v>
      </c>
      <c r="H317">
        <f t="shared" si="56"/>
        <v>658</v>
      </c>
      <c r="I317" s="17">
        <f t="shared" si="59"/>
        <v>2.9975841047641349E-2</v>
      </c>
      <c r="J317" s="17">
        <f t="shared" si="59"/>
        <v>3.2281856234876997E-2</v>
      </c>
      <c r="K317" s="17">
        <f t="shared" si="59"/>
        <v>5.3430388721250013E-2</v>
      </c>
      <c r="L317" s="17">
        <f t="shared" si="59"/>
        <v>6.8947176274127858E-2</v>
      </c>
      <c r="M317" s="17">
        <f t="shared" si="59"/>
        <v>4.0390910484060863E-2</v>
      </c>
    </row>
    <row r="318" spans="6:13" x14ac:dyDescent="0.2">
      <c r="F318">
        <v>932</v>
      </c>
      <c r="G318">
        <f t="shared" si="55"/>
        <v>0.93200000000000005</v>
      </c>
      <c r="H318">
        <f t="shared" si="56"/>
        <v>659</v>
      </c>
      <c r="I318" s="17">
        <f t="shared" si="59"/>
        <v>2.9978951308856337E-2</v>
      </c>
      <c r="J318" s="17">
        <f t="shared" si="59"/>
        <v>3.2287984336128048E-2</v>
      </c>
      <c r="K318" s="17">
        <f t="shared" si="59"/>
        <v>5.3443837028550226E-2</v>
      </c>
      <c r="L318" s="17">
        <f t="shared" si="59"/>
        <v>6.899001809110944E-2</v>
      </c>
      <c r="M318" s="17">
        <f t="shared" si="59"/>
        <v>4.0403598470625114E-2</v>
      </c>
    </row>
    <row r="319" spans="6:13" x14ac:dyDescent="0.2">
      <c r="F319">
        <v>933</v>
      </c>
      <c r="G319">
        <f t="shared" si="55"/>
        <v>0.93300000000000005</v>
      </c>
      <c r="H319">
        <f t="shared" si="56"/>
        <v>660</v>
      </c>
      <c r="I319" s="17">
        <f t="shared" ref="I319:M328" si="60">(I$151+I$152*$G319+I$153*($G319^2)+I$154*($G319^3)+I$155/($G319^2))/1000</f>
        <v>2.9982067668903673E-2</v>
      </c>
      <c r="J319" s="17">
        <f t="shared" si="60"/>
        <v>3.2294107095740911E-2</v>
      </c>
      <c r="K319" s="17">
        <f t="shared" si="60"/>
        <v>5.3457261313914983E-2</v>
      </c>
      <c r="L319" s="17">
        <f t="shared" si="60"/>
        <v>6.9032813045760241E-2</v>
      </c>
      <c r="M319" s="17">
        <f t="shared" si="60"/>
        <v>4.0416286524434658E-2</v>
      </c>
    </row>
    <row r="320" spans="6:13" x14ac:dyDescent="0.2">
      <c r="F320">
        <v>934</v>
      </c>
      <c r="G320">
        <f t="shared" si="55"/>
        <v>0.93400000000000005</v>
      </c>
      <c r="H320">
        <f t="shared" si="56"/>
        <v>661</v>
      </c>
      <c r="I320" s="17">
        <f t="shared" si="60"/>
        <v>2.9985190116543183E-2</v>
      </c>
      <c r="J320" s="17">
        <f t="shared" si="60"/>
        <v>3.2300224503975607E-2</v>
      </c>
      <c r="K320" s="17">
        <f t="shared" si="60"/>
        <v>5.3470661629685536E-2</v>
      </c>
      <c r="L320" s="17">
        <f t="shared" si="60"/>
        <v>6.9075561150159753E-2</v>
      </c>
      <c r="M320" s="17">
        <f t="shared" si="60"/>
        <v>4.0428974627486777E-2</v>
      </c>
    </row>
    <row r="321" spans="6:13" x14ac:dyDescent="0.2">
      <c r="F321">
        <v>935</v>
      </c>
      <c r="G321">
        <f t="shared" si="55"/>
        <v>0.93500000000000005</v>
      </c>
      <c r="H321">
        <f t="shared" si="56"/>
        <v>662</v>
      </c>
      <c r="I321" s="17">
        <f t="shared" si="60"/>
        <v>2.9988318640505836E-2</v>
      </c>
      <c r="J321" s="17">
        <f t="shared" si="60"/>
        <v>3.2306336551188149E-2</v>
      </c>
      <c r="K321" s="17">
        <f t="shared" si="60"/>
        <v>5.3484038028178311E-2</v>
      </c>
      <c r="L321" s="17">
        <f t="shared" si="60"/>
        <v>6.911826241651095E-2</v>
      </c>
      <c r="M321" s="17">
        <f t="shared" si="60"/>
        <v>4.0441662761793624E-2</v>
      </c>
    </row>
    <row r="322" spans="6:13" x14ac:dyDescent="0.2">
      <c r="F322">
        <v>936</v>
      </c>
      <c r="G322">
        <f t="shared" si="55"/>
        <v>0.93600000000000005</v>
      </c>
      <c r="H322">
        <f t="shared" si="56"/>
        <v>663</v>
      </c>
      <c r="I322" s="17">
        <f t="shared" si="60"/>
        <v>2.9991453229493925E-2</v>
      </c>
      <c r="J322" s="17">
        <f t="shared" si="60"/>
        <v>3.231244322782989E-2</v>
      </c>
      <c r="K322" s="17">
        <f t="shared" si="60"/>
        <v>5.3497390561684996E-2</v>
      </c>
      <c r="L322" s="17">
        <f t="shared" si="60"/>
        <v>6.9160916857139376E-2</v>
      </c>
      <c r="M322" s="17">
        <f t="shared" si="60"/>
        <v>4.0454350909382236E-2</v>
      </c>
    </row>
    <row r="323" spans="6:13" x14ac:dyDescent="0.2">
      <c r="F323">
        <v>937</v>
      </c>
      <c r="G323">
        <f t="shared" si="55"/>
        <v>0.93700000000000006</v>
      </c>
      <c r="H323">
        <f t="shared" si="56"/>
        <v>664</v>
      </c>
      <c r="I323" s="17">
        <f t="shared" si="60"/>
        <v>2.9994593872181275E-2</v>
      </c>
      <c r="J323" s="17">
        <f t="shared" si="60"/>
        <v>3.2318544524446977E-2</v>
      </c>
      <c r="K323" s="17">
        <f t="shared" si="60"/>
        <v>5.3510719282472745E-2</v>
      </c>
      <c r="L323" s="17">
        <f t="shared" si="60"/>
        <v>6.9203524484492462E-2</v>
      </c>
      <c r="M323" s="17">
        <f t="shared" si="60"/>
        <v>4.0467039052294401E-2</v>
      </c>
    </row>
    <row r="324" spans="6:13" x14ac:dyDescent="0.2">
      <c r="F324">
        <v>938</v>
      </c>
      <c r="G324">
        <f t="shared" si="55"/>
        <v>0.93799999999999994</v>
      </c>
      <c r="H324">
        <f t="shared" si="56"/>
        <v>665</v>
      </c>
      <c r="I324" s="17">
        <f t="shared" si="60"/>
        <v>2.9997740557213451E-2</v>
      </c>
      <c r="J324" s="17">
        <f t="shared" si="60"/>
        <v>3.2324640431679701E-2</v>
      </c>
      <c r="K324" s="17">
        <f t="shared" si="60"/>
        <v>5.3524024242784345E-2</v>
      </c>
      <c r="L324" s="17">
        <f t="shared" si="60"/>
        <v>6.9246085311138753E-2</v>
      </c>
      <c r="M324" s="17">
        <f t="shared" si="60"/>
        <v>4.0479727172586563E-2</v>
      </c>
    </row>
    <row r="325" spans="6:13" x14ac:dyDescent="0.2">
      <c r="F325">
        <v>939</v>
      </c>
      <c r="G325">
        <f t="shared" si="55"/>
        <v>0.93899999999999995</v>
      </c>
      <c r="H325">
        <f t="shared" si="56"/>
        <v>666</v>
      </c>
      <c r="I325" s="17">
        <f t="shared" si="60"/>
        <v>3.0000893273207836E-2</v>
      </c>
      <c r="J325" s="17">
        <f t="shared" si="60"/>
        <v>3.233073094026187E-2</v>
      </c>
      <c r="K325" s="17">
        <f t="shared" si="60"/>
        <v>5.353730549483833E-2</v>
      </c>
      <c r="L325" s="17">
        <f t="shared" si="60"/>
        <v>6.928859934976718E-2</v>
      </c>
      <c r="M325" s="17">
        <f t="shared" si="60"/>
        <v>4.049241525232973E-2</v>
      </c>
    </row>
    <row r="326" spans="6:13" x14ac:dyDescent="0.2">
      <c r="F326">
        <v>940</v>
      </c>
      <c r="G326">
        <f t="shared" si="55"/>
        <v>0.94</v>
      </c>
      <c r="H326">
        <f t="shared" si="56"/>
        <v>667</v>
      </c>
      <c r="I326" s="17">
        <f t="shared" si="60"/>
        <v>3.0004052008753945E-2</v>
      </c>
      <c r="J326" s="17">
        <f t="shared" si="60"/>
        <v>3.233681604102033E-2</v>
      </c>
      <c r="K326" s="17">
        <f t="shared" si="60"/>
        <v>5.3550563090829187E-2</v>
      </c>
      <c r="L326" s="17">
        <f t="shared" si="60"/>
        <v>6.933106661318611E-2</v>
      </c>
      <c r="M326" s="17">
        <f t="shared" si="60"/>
        <v>4.0505103273609372E-2</v>
      </c>
    </row>
    <row r="327" spans="6:13" x14ac:dyDescent="0.2">
      <c r="F327">
        <v>941</v>
      </c>
      <c r="G327">
        <f t="shared" si="55"/>
        <v>0.94099999999999995</v>
      </c>
      <c r="H327">
        <f t="shared" si="56"/>
        <v>668</v>
      </c>
      <c r="I327" s="17">
        <f t="shared" si="60"/>
        <v>3.0007216752413478E-2</v>
      </c>
      <c r="J327" s="17">
        <f t="shared" si="60"/>
        <v>3.2342895724874185E-2</v>
      </c>
      <c r="K327" s="17">
        <f t="shared" si="60"/>
        <v>5.3563797082927474E-2</v>
      </c>
      <c r="L327" s="17">
        <f t="shared" si="60"/>
        <v>6.9373487114322771E-2</v>
      </c>
      <c r="M327" s="17">
        <f t="shared" si="60"/>
        <v>4.0517791218525369E-2</v>
      </c>
    </row>
    <row r="328" spans="6:13" x14ac:dyDescent="0.2">
      <c r="F328">
        <v>942</v>
      </c>
      <c r="G328">
        <f t="shared" si="55"/>
        <v>0.94199999999999995</v>
      </c>
      <c r="H328">
        <f t="shared" si="56"/>
        <v>669</v>
      </c>
      <c r="I328" s="17">
        <f t="shared" si="60"/>
        <v>3.0010387492720596E-2</v>
      </c>
      <c r="J328" s="17">
        <f t="shared" si="60"/>
        <v>3.2348969982834382E-2</v>
      </c>
      <c r="K328" s="17">
        <f t="shared" si="60"/>
        <v>5.3577007523279964E-2</v>
      </c>
      <c r="L328" s="17">
        <f t="shared" si="60"/>
        <v>6.9415860866222368E-2</v>
      </c>
      <c r="M328" s="17">
        <f t="shared" si="60"/>
        <v>4.0530479069191841E-2</v>
      </c>
    </row>
    <row r="329" spans="6:13" x14ac:dyDescent="0.2">
      <c r="F329">
        <v>943</v>
      </c>
      <c r="G329">
        <f t="shared" si="55"/>
        <v>0.94299999999999995</v>
      </c>
      <c r="H329">
        <f t="shared" si="56"/>
        <v>670</v>
      </c>
      <c r="I329" s="17">
        <f t="shared" ref="I329:M338" si="61">(I$151+I$152*$G329+I$153*($G329^2)+I$154*($G329^3)+I$155/($G329^2))/1000</f>
        <v>3.0013564218182034E-2</v>
      </c>
      <c r="J329" s="17">
        <f t="shared" si="61"/>
        <v>3.2355038806003052E-2</v>
      </c>
      <c r="K329" s="17">
        <f t="shared" si="61"/>
        <v>5.3590194464009859E-2</v>
      </c>
      <c r="L329" s="17">
        <f t="shared" si="61"/>
        <v>6.9458187882047481E-2</v>
      </c>
      <c r="M329" s="17">
        <f t="shared" si="61"/>
        <v>4.054316680773714E-2</v>
      </c>
    </row>
    <row r="330" spans="6:13" x14ac:dyDescent="0.2">
      <c r="F330">
        <v>944</v>
      </c>
      <c r="G330">
        <f t="shared" si="55"/>
        <v>0.94399999999999995</v>
      </c>
      <c r="H330">
        <f t="shared" si="56"/>
        <v>671</v>
      </c>
      <c r="I330" s="17">
        <f t="shared" si="61"/>
        <v>3.00167469172773E-2</v>
      </c>
      <c r="J330" s="17">
        <f t="shared" si="61"/>
        <v>3.2361102185572914E-2</v>
      </c>
      <c r="K330" s="17">
        <f t="shared" si="61"/>
        <v>5.3603357957216852E-2</v>
      </c>
      <c r="L330" s="17">
        <f t="shared" si="61"/>
        <v>6.9500468175077157E-2</v>
      </c>
      <c r="M330" s="17">
        <f t="shared" si="61"/>
        <v>4.0555854416303716E-2</v>
      </c>
    </row>
    <row r="331" spans="6:13" x14ac:dyDescent="0.2">
      <c r="F331">
        <v>945</v>
      </c>
      <c r="G331">
        <f t="shared" si="55"/>
        <v>0.94499999999999995</v>
      </c>
      <c r="H331">
        <f t="shared" si="56"/>
        <v>672</v>
      </c>
      <c r="I331" s="17">
        <f t="shared" si="61"/>
        <v>3.0019935578458844E-2</v>
      </c>
      <c r="J331" s="17">
        <f t="shared" si="61"/>
        <v>3.2367160112826747E-2</v>
      </c>
      <c r="K331" s="17">
        <f t="shared" si="61"/>
        <v>5.3616498054977313E-2</v>
      </c>
      <c r="L331" s="17">
        <f t="shared" si="61"/>
        <v>6.9542701758706235E-2</v>
      </c>
      <c r="M331" s="17">
        <f t="shared" si="61"/>
        <v>4.0568541877048045E-2</v>
      </c>
    </row>
    <row r="332" spans="6:13" x14ac:dyDescent="0.2">
      <c r="F332">
        <v>946</v>
      </c>
      <c r="G332">
        <f t="shared" si="55"/>
        <v>0.94599999999999995</v>
      </c>
      <c r="H332">
        <f t="shared" si="56"/>
        <v>673</v>
      </c>
      <c r="I332" s="17">
        <f t="shared" si="61"/>
        <v>3.0023130190152236E-2</v>
      </c>
      <c r="J332" s="17">
        <f t="shared" si="61"/>
        <v>3.2373212579136779E-2</v>
      </c>
      <c r="K332" s="17">
        <f t="shared" si="61"/>
        <v>5.3629614809344466E-2</v>
      </c>
      <c r="L332" s="17">
        <f t="shared" si="61"/>
        <v>6.9584888646444687E-2</v>
      </c>
      <c r="M332" s="17">
        <f t="shared" si="61"/>
        <v>4.0581229172140514E-2</v>
      </c>
    </row>
    <row r="333" spans="6:13" x14ac:dyDescent="0.2">
      <c r="F333">
        <v>947</v>
      </c>
      <c r="G333">
        <f t="shared" si="55"/>
        <v>0.94699999999999995</v>
      </c>
      <c r="H333">
        <f t="shared" si="56"/>
        <v>674</v>
      </c>
      <c r="I333" s="17">
        <f t="shared" si="61"/>
        <v>3.0026330740756318E-2</v>
      </c>
      <c r="J333" s="17">
        <f t="shared" si="61"/>
        <v>3.2379259575964159E-2</v>
      </c>
      <c r="K333" s="17">
        <f t="shared" si="61"/>
        <v>5.3642708272348516E-2</v>
      </c>
      <c r="L333" s="17">
        <f t="shared" si="61"/>
        <v>6.9627028851916767E-2</v>
      </c>
      <c r="M333" s="17">
        <f t="shared" si="61"/>
        <v>4.0593916283765352E-2</v>
      </c>
    </row>
    <row r="334" spans="6:13" x14ac:dyDescent="0.2">
      <c r="F334">
        <v>948</v>
      </c>
      <c r="G334">
        <f t="shared" si="55"/>
        <v>0.94799999999999995</v>
      </c>
      <c r="H334">
        <f t="shared" si="56"/>
        <v>675</v>
      </c>
      <c r="I334" s="17">
        <f t="shared" si="61"/>
        <v>3.0029537218643387E-2</v>
      </c>
      <c r="J334" s="17">
        <f t="shared" si="61"/>
        <v>3.2385301094858342E-2</v>
      </c>
      <c r="K334" s="17">
        <f t="shared" si="61"/>
        <v>5.3655778495996766E-2</v>
      </c>
      <c r="L334" s="17">
        <f t="shared" si="61"/>
        <v>6.9669122388860333E-2</v>
      </c>
      <c r="M334" s="17">
        <f t="shared" si="61"/>
        <v>4.0606603194120565E-2</v>
      </c>
    </row>
    <row r="335" spans="6:13" x14ac:dyDescent="0.2">
      <c r="F335">
        <v>949</v>
      </c>
      <c r="G335">
        <f t="shared" si="55"/>
        <v>0.94899999999999995</v>
      </c>
      <c r="H335">
        <f t="shared" si="56"/>
        <v>676</v>
      </c>
      <c r="I335" s="17">
        <f t="shared" si="61"/>
        <v>3.0032749612159373E-2</v>
      </c>
      <c r="J335" s="17">
        <f t="shared" si="61"/>
        <v>3.2391337127456586E-2</v>
      </c>
      <c r="K335" s="17">
        <f t="shared" si="61"/>
        <v>5.3668825532273791E-2</v>
      </c>
      <c r="L335" s="17">
        <f t="shared" si="61"/>
        <v>6.971116927112618E-2</v>
      </c>
      <c r="M335" s="17">
        <f t="shared" si="61"/>
        <v>4.0619289885417784E-2</v>
      </c>
    </row>
    <row r="336" spans="6:13" x14ac:dyDescent="0.2">
      <c r="F336">
        <v>950</v>
      </c>
      <c r="G336">
        <f t="shared" si="55"/>
        <v>0.95</v>
      </c>
      <c r="H336">
        <f t="shared" si="56"/>
        <v>677</v>
      </c>
      <c r="I336" s="17">
        <f t="shared" si="61"/>
        <v>3.003596790962397E-2</v>
      </c>
      <c r="J336" s="17">
        <f t="shared" si="61"/>
        <v>3.239736766548338E-2</v>
      </c>
      <c r="K336" s="17">
        <f t="shared" si="61"/>
        <v>5.368184943314161E-2</v>
      </c>
      <c r="L336" s="17">
        <f t="shared" si="61"/>
        <v>6.9753169512677293E-2</v>
      </c>
      <c r="M336" s="17">
        <f t="shared" si="61"/>
        <v>4.0631976339882268E-2</v>
      </c>
    </row>
    <row r="337" spans="6:13" x14ac:dyDescent="0.2">
      <c r="F337">
        <v>951</v>
      </c>
      <c r="G337">
        <f t="shared" si="55"/>
        <v>0.95099999999999996</v>
      </c>
      <c r="H337">
        <f t="shared" si="56"/>
        <v>678</v>
      </c>
      <c r="I337" s="17">
        <f t="shared" si="61"/>
        <v>3.0039192099330835E-2</v>
      </c>
      <c r="J337" s="17">
        <f t="shared" si="61"/>
        <v>3.2403392700749857E-2</v>
      </c>
      <c r="K337" s="17">
        <f t="shared" si="61"/>
        <v>5.3694850250539758E-2</v>
      </c>
      <c r="L337" s="17">
        <f t="shared" si="61"/>
        <v>6.9795123127588038E-2</v>
      </c>
      <c r="M337" s="17">
        <f t="shared" si="61"/>
        <v>4.0644662539752727E-2</v>
      </c>
    </row>
    <row r="338" spans="6:13" x14ac:dyDescent="0.2">
      <c r="F338">
        <v>952</v>
      </c>
      <c r="G338">
        <f t="shared" si="55"/>
        <v>0.95199999999999996</v>
      </c>
      <c r="H338">
        <f t="shared" si="56"/>
        <v>679</v>
      </c>
      <c r="I338" s="17">
        <f t="shared" si="61"/>
        <v>3.0042422169547743E-2</v>
      </c>
      <c r="J338" s="17">
        <f t="shared" si="61"/>
        <v>3.2409412225153311E-2</v>
      </c>
      <c r="K338" s="17">
        <f t="shared" si="61"/>
        <v>5.370782803638547E-2</v>
      </c>
      <c r="L338" s="17">
        <f t="shared" si="61"/>
        <v>6.9837030130043734E-2</v>
      </c>
      <c r="M338" s="17">
        <f t="shared" si="61"/>
        <v>4.0657348467281307E-2</v>
      </c>
    </row>
    <row r="339" spans="6:13" x14ac:dyDescent="0.2">
      <c r="F339">
        <v>953</v>
      </c>
      <c r="G339">
        <f t="shared" si="55"/>
        <v>0.95299999999999996</v>
      </c>
      <c r="H339">
        <f t="shared" si="56"/>
        <v>680</v>
      </c>
      <c r="I339" s="17">
        <f t="shared" ref="I339:M348" si="62">(I$151+I$152*$G339+I$153*($G339^2)+I$154*($G339^3)+I$155/($G339^2))/1000</f>
        <v>3.0045658108516757E-2</v>
      </c>
      <c r="J339" s="17">
        <f t="shared" si="62"/>
        <v>3.2415426230676586E-2</v>
      </c>
      <c r="K339" s="17">
        <f t="shared" si="62"/>
        <v>5.3720782842573839E-2</v>
      </c>
      <c r="L339" s="17">
        <f t="shared" si="62"/>
        <v>6.9878890534339516E-2</v>
      </c>
      <c r="M339" s="17">
        <f t="shared" si="62"/>
        <v>4.0670034104733459E-2</v>
      </c>
    </row>
    <row r="340" spans="6:13" x14ac:dyDescent="0.2">
      <c r="F340">
        <v>954</v>
      </c>
      <c r="G340">
        <f t="shared" si="55"/>
        <v>0.95399999999999996</v>
      </c>
      <c r="H340">
        <f t="shared" si="56"/>
        <v>681</v>
      </c>
      <c r="I340" s="17">
        <f t="shared" si="62"/>
        <v>3.0048899904454359E-2</v>
      </c>
      <c r="J340" s="17">
        <f t="shared" si="62"/>
        <v>3.2421434709387624E-2</v>
      </c>
      <c r="K340" s="17">
        <f t="shared" si="62"/>
        <v>5.3733714720977897E-2</v>
      </c>
      <c r="L340" s="17">
        <f t="shared" si="62"/>
        <v>6.9920704354880195E-2</v>
      </c>
      <c r="M340" s="17">
        <f t="shared" si="62"/>
        <v>4.0682719434387907E-2</v>
      </c>
    </row>
    <row r="341" spans="6:13" x14ac:dyDescent="0.2">
      <c r="F341">
        <v>955</v>
      </c>
      <c r="G341">
        <f t="shared" si="55"/>
        <v>0.95499999999999996</v>
      </c>
      <c r="H341">
        <f t="shared" si="56"/>
        <v>682</v>
      </c>
      <c r="I341" s="17">
        <f t="shared" si="62"/>
        <v>3.0052147545551647E-2</v>
      </c>
      <c r="J341" s="17">
        <f t="shared" si="62"/>
        <v>3.2427437653438848E-2</v>
      </c>
      <c r="K341" s="17">
        <f t="shared" si="62"/>
        <v>5.3746623723448815E-2</v>
      </c>
      <c r="L341" s="17">
        <f t="shared" si="62"/>
        <v>6.996247160617905E-2</v>
      </c>
      <c r="M341" s="17">
        <f t="shared" si="62"/>
        <v>4.0695404438536482E-2</v>
      </c>
    </row>
    <row r="342" spans="6:13" x14ac:dyDescent="0.2">
      <c r="F342">
        <v>956</v>
      </c>
      <c r="G342">
        <f t="shared" si="55"/>
        <v>0.95599999999999996</v>
      </c>
      <c r="H342">
        <f t="shared" si="56"/>
        <v>683</v>
      </c>
      <c r="I342" s="17">
        <f t="shared" si="62"/>
        <v>3.0055401019974486E-2</v>
      </c>
      <c r="J342" s="17">
        <f t="shared" si="62"/>
        <v>3.243343505506667E-2</v>
      </c>
      <c r="K342" s="17">
        <f t="shared" si="62"/>
        <v>5.3759509901815987E-2</v>
      </c>
      <c r="L342" s="17">
        <f t="shared" si="62"/>
        <v>7.0004192302857496E-2</v>
      </c>
      <c r="M342" s="17">
        <f t="shared" si="62"/>
        <v>4.0708089099484132E-2</v>
      </c>
    </row>
    <row r="343" spans="6:13" x14ac:dyDescent="0.2">
      <c r="F343">
        <v>957</v>
      </c>
      <c r="G343">
        <f t="shared" si="55"/>
        <v>0.95699999999999996</v>
      </c>
      <c r="H343">
        <f t="shared" si="56"/>
        <v>684</v>
      </c>
      <c r="I343" s="17">
        <f t="shared" si="62"/>
        <v>3.0058660315863631E-2</v>
      </c>
      <c r="J343" s="17">
        <f t="shared" si="62"/>
        <v>3.2439426906590962E-2</v>
      </c>
      <c r="K343" s="17">
        <f t="shared" si="62"/>
        <v>5.3772373307887242E-2</v>
      </c>
      <c r="L343" s="17">
        <f t="shared" si="62"/>
        <v>7.0045866459644252E-2</v>
      </c>
      <c r="M343" s="17">
        <f t="shared" si="62"/>
        <v>4.0720773399548792E-2</v>
      </c>
    </row>
    <row r="344" spans="6:13" x14ac:dyDescent="0.2">
      <c r="F344">
        <v>958</v>
      </c>
      <c r="G344">
        <f t="shared" si="55"/>
        <v>0.95799999999999996</v>
      </c>
      <c r="H344">
        <f t="shared" si="56"/>
        <v>685</v>
      </c>
      <c r="I344" s="17">
        <f t="shared" si="62"/>
        <v>3.0061925421334953E-2</v>
      </c>
      <c r="J344" s="17">
        <f t="shared" si="62"/>
        <v>3.2445413200414538E-2</v>
      </c>
      <c r="K344" s="17">
        <f t="shared" si="62"/>
        <v>5.3785213993448877E-2</v>
      </c>
      <c r="L344" s="17">
        <f t="shared" si="62"/>
        <v>7.0087494091374672E-2</v>
      </c>
      <c r="M344" s="17">
        <f t="shared" si="62"/>
        <v>4.0733457321061282E-2</v>
      </c>
    </row>
    <row r="345" spans="6:13" x14ac:dyDescent="0.2">
      <c r="F345">
        <v>959</v>
      </c>
      <c r="G345">
        <f t="shared" si="55"/>
        <v>0.95899999999999996</v>
      </c>
      <c r="H345">
        <f t="shared" si="56"/>
        <v>686</v>
      </c>
      <c r="I345" s="17">
        <f t="shared" si="62"/>
        <v>3.0065196324479505E-2</v>
      </c>
      <c r="J345" s="17">
        <f t="shared" si="62"/>
        <v>3.2451393929022618E-2</v>
      </c>
      <c r="K345" s="17">
        <f t="shared" si="62"/>
        <v>5.3798032010265881E-2</v>
      </c>
      <c r="L345" s="17">
        <f t="shared" si="62"/>
        <v>7.012907521299018E-2</v>
      </c>
      <c r="M345" s="17">
        <f t="shared" si="62"/>
        <v>4.0746140846365277E-2</v>
      </c>
    </row>
    <row r="346" spans="6:13" x14ac:dyDescent="0.2">
      <c r="F346">
        <v>960</v>
      </c>
      <c r="G346">
        <f t="shared" si="55"/>
        <v>0.96</v>
      </c>
      <c r="H346">
        <f t="shared" si="56"/>
        <v>687</v>
      </c>
      <c r="I346" s="17">
        <f t="shared" si="62"/>
        <v>3.0068473013363777E-2</v>
      </c>
      <c r="J346" s="17">
        <f t="shared" si="62"/>
        <v>3.2457369084982333E-2</v>
      </c>
      <c r="K346" s="17">
        <f t="shared" si="62"/>
        <v>5.3810827410082002E-2</v>
      </c>
      <c r="L346" s="17">
        <f t="shared" si="62"/>
        <v>7.0170609839537448E-2</v>
      </c>
      <c r="M346" s="17">
        <f t="shared" si="62"/>
        <v>4.0758823957817221E-2</v>
      </c>
    </row>
    <row r="347" spans="6:13" x14ac:dyDescent="0.2">
      <c r="F347">
        <v>961</v>
      </c>
      <c r="G347">
        <f t="shared" si="55"/>
        <v>0.96099999999999997</v>
      </c>
      <c r="H347">
        <f t="shared" si="56"/>
        <v>688</v>
      </c>
      <c r="I347" s="17">
        <f t="shared" si="62"/>
        <v>3.0071755476029763E-2</v>
      </c>
      <c r="J347" s="17">
        <f t="shared" si="62"/>
        <v>3.2463338660942198E-2</v>
      </c>
      <c r="K347" s="17">
        <f t="shared" si="62"/>
        <v>5.3823600244619935E-2</v>
      </c>
      <c r="L347" s="17">
        <f t="shared" si="62"/>
        <v>7.0212097986167926E-2</v>
      </c>
      <c r="M347" s="17">
        <f t="shared" si="62"/>
        <v>4.0771506637786184E-2</v>
      </c>
    </row>
    <row r="348" spans="6:13" x14ac:dyDescent="0.2">
      <c r="F348">
        <v>962</v>
      </c>
      <c r="G348">
        <f t="shared" si="55"/>
        <v>0.96199999999999997</v>
      </c>
      <c r="H348">
        <f t="shared" si="56"/>
        <v>689</v>
      </c>
      <c r="I348" s="17">
        <f t="shared" si="62"/>
        <v>3.0075043700495172E-2</v>
      </c>
      <c r="J348" s="17">
        <f t="shared" si="62"/>
        <v>3.2469302649631653E-2</v>
      </c>
      <c r="K348" s="17">
        <f t="shared" si="62"/>
        <v>5.3836350565581406E-2</v>
      </c>
      <c r="L348" s="17">
        <f t="shared" si="62"/>
        <v>7.0253539668137063E-2</v>
      </c>
      <c r="M348" s="17">
        <f t="shared" si="62"/>
        <v>4.0784188868653849E-2</v>
      </c>
    </row>
    <row r="349" spans="6:13" x14ac:dyDescent="0.2">
      <c r="F349">
        <v>963</v>
      </c>
      <c r="G349">
        <f t="shared" si="55"/>
        <v>0.96299999999999997</v>
      </c>
      <c r="H349">
        <f t="shared" si="56"/>
        <v>690</v>
      </c>
      <c r="I349" s="17">
        <f t="shared" ref="I349:M358" si="63">(I$151+I$152*$G349+I$153*($G349^2)+I$154*($G349^3)+I$155/($G349^2))/1000</f>
        <v>3.0078337674753534E-2</v>
      </c>
      <c r="J349" s="17">
        <f t="shared" si="63"/>
        <v>3.2475261043860434E-2</v>
      </c>
      <c r="K349" s="17">
        <f t="shared" si="63"/>
        <v>5.3849078424647361E-2</v>
      </c>
      <c r="L349" s="17">
        <f t="shared" si="63"/>
        <v>7.0294934900803602E-2</v>
      </c>
      <c r="M349" s="17">
        <f t="shared" si="63"/>
        <v>4.0796870632814432E-2</v>
      </c>
    </row>
    <row r="350" spans="6:13" x14ac:dyDescent="0.2">
      <c r="F350">
        <v>964</v>
      </c>
      <c r="G350">
        <f t="shared" si="55"/>
        <v>0.96399999999999997</v>
      </c>
      <c r="H350">
        <f t="shared" si="56"/>
        <v>691</v>
      </c>
      <c r="I350" s="17">
        <f t="shared" si="63"/>
        <v>3.0081637386774381E-2</v>
      </c>
      <c r="J350" s="17">
        <f t="shared" si="63"/>
        <v>3.2481213836518238E-2</v>
      </c>
      <c r="K350" s="17">
        <f t="shared" si="63"/>
        <v>5.3861783873478009E-2</v>
      </c>
      <c r="L350" s="17">
        <f t="shared" si="63"/>
        <v>7.0336283699629146E-2</v>
      </c>
      <c r="M350" s="17">
        <f t="shared" si="63"/>
        <v>4.0809551912674553E-2</v>
      </c>
    </row>
    <row r="351" spans="6:13" x14ac:dyDescent="0.2">
      <c r="F351">
        <v>965</v>
      </c>
      <c r="G351">
        <f t="shared" ref="G351:G414" si="64">F351/1000</f>
        <v>0.96499999999999997</v>
      </c>
      <c r="H351">
        <f t="shared" si="56"/>
        <v>692</v>
      </c>
      <c r="I351" s="17">
        <f t="shared" si="63"/>
        <v>3.0084942824503417E-2</v>
      </c>
      <c r="J351" s="17">
        <f t="shared" si="63"/>
        <v>3.2487161020574098E-2</v>
      </c>
      <c r="K351" s="17">
        <f t="shared" si="63"/>
        <v>5.3874466963713029E-2</v>
      </c>
      <c r="L351" s="17">
        <f t="shared" si="63"/>
        <v>7.0377586080177301E-2</v>
      </c>
      <c r="M351" s="17">
        <f t="shared" si="63"/>
        <v>4.0822232690653215E-2</v>
      </c>
    </row>
    <row r="352" spans="6:13" x14ac:dyDescent="0.2">
      <c r="F352">
        <v>966</v>
      </c>
      <c r="G352">
        <f t="shared" si="64"/>
        <v>0.96599999999999997</v>
      </c>
      <c r="H352">
        <f t="shared" si="56"/>
        <v>693</v>
      </c>
      <c r="I352" s="17">
        <f t="shared" si="63"/>
        <v>3.0088253975862591E-2</v>
      </c>
      <c r="J352" s="17">
        <f t="shared" si="63"/>
        <v>3.2493102589075958E-2</v>
      </c>
      <c r="K352" s="17">
        <f t="shared" si="63"/>
        <v>5.3887127746971672E-2</v>
      </c>
      <c r="L352" s="17">
        <f t="shared" si="63"/>
        <v>7.0418842058113232E-2</v>
      </c>
      <c r="M352" s="17">
        <f t="shared" si="63"/>
        <v>4.0834912949181679E-2</v>
      </c>
    </row>
    <row r="353" spans="6:13" x14ac:dyDescent="0.2">
      <c r="F353">
        <v>967</v>
      </c>
      <c r="G353">
        <f t="shared" si="64"/>
        <v>0.96699999999999997</v>
      </c>
      <c r="H353">
        <f t="shared" ref="H353:H416" si="65">F353-273</f>
        <v>694</v>
      </c>
      <c r="I353" s="17">
        <f t="shared" si="63"/>
        <v>3.0091570828750313E-2</v>
      </c>
      <c r="J353" s="17">
        <f t="shared" si="63"/>
        <v>3.2499038535150175E-2</v>
      </c>
      <c r="K353" s="17">
        <f t="shared" si="63"/>
        <v>5.3899766274852871E-2</v>
      </c>
      <c r="L353" s="17">
        <f t="shared" si="63"/>
        <v>7.0460051649202812E-2</v>
      </c>
      <c r="M353" s="17">
        <f t="shared" si="63"/>
        <v>4.0847592670703446E-2</v>
      </c>
    </row>
    <row r="354" spans="6:13" x14ac:dyDescent="0.2">
      <c r="F354">
        <v>968</v>
      </c>
      <c r="G354">
        <f t="shared" si="64"/>
        <v>0.96799999999999997</v>
      </c>
      <c r="H354">
        <f t="shared" si="65"/>
        <v>695</v>
      </c>
      <c r="I354" s="17">
        <f t="shared" si="63"/>
        <v>3.0094893371041587E-2</v>
      </c>
      <c r="J354" s="17">
        <f t="shared" si="63"/>
        <v>3.2504968852000986E-2</v>
      </c>
      <c r="K354" s="17">
        <f t="shared" si="63"/>
        <v>5.3912382598935389E-2</v>
      </c>
      <c r="L354" s="17">
        <f t="shared" si="63"/>
        <v>7.0501214869312254E-2</v>
      </c>
      <c r="M354" s="17">
        <f t="shared" si="63"/>
        <v>4.0860271837674128E-2</v>
      </c>
    </row>
    <row r="355" spans="6:13" x14ac:dyDescent="0.2">
      <c r="F355">
        <v>969</v>
      </c>
      <c r="G355">
        <f t="shared" si="64"/>
        <v>0.96899999999999997</v>
      </c>
      <c r="H355">
        <f t="shared" si="65"/>
        <v>696</v>
      </c>
      <c r="I355" s="17">
        <f t="shared" si="63"/>
        <v>3.0098221590588115E-2</v>
      </c>
      <c r="J355" s="17">
        <f t="shared" si="63"/>
        <v>3.2510893532910104E-2</v>
      </c>
      <c r="K355" s="17">
        <f t="shared" si="63"/>
        <v>5.3924976770777941E-2</v>
      </c>
      <c r="L355" s="17">
        <f t="shared" si="63"/>
        <v>7.0542331734407285E-2</v>
      </c>
      <c r="M355" s="17">
        <f t="shared" si="63"/>
        <v>4.0872950432561374E-2</v>
      </c>
    </row>
    <row r="356" spans="6:13" x14ac:dyDescent="0.2">
      <c r="F356">
        <v>970</v>
      </c>
      <c r="G356">
        <f t="shared" si="64"/>
        <v>0.97</v>
      </c>
      <c r="H356">
        <f t="shared" si="65"/>
        <v>697</v>
      </c>
      <c r="I356" s="17">
        <f t="shared" si="63"/>
        <v>3.0101555475218516E-2</v>
      </c>
      <c r="J356" s="17">
        <f t="shared" si="63"/>
        <v>3.2516812571236155E-2</v>
      </c>
      <c r="K356" s="17">
        <f t="shared" si="63"/>
        <v>5.3937548841919272E-2</v>
      </c>
      <c r="L356" s="17">
        <f t="shared" si="63"/>
        <v>7.0583402260552611E-2</v>
      </c>
      <c r="M356" s="17">
        <f t="shared" si="63"/>
        <v>4.0885628437844844E-2</v>
      </c>
    </row>
    <row r="357" spans="6:13" x14ac:dyDescent="0.2">
      <c r="F357">
        <v>971</v>
      </c>
      <c r="G357">
        <f t="shared" si="64"/>
        <v>0.97099999999999997</v>
      </c>
      <c r="H357">
        <f t="shared" si="65"/>
        <v>698</v>
      </c>
      <c r="I357" s="17">
        <f t="shared" si="63"/>
        <v>3.0104895012738386E-2</v>
      </c>
      <c r="J357" s="17">
        <f t="shared" si="63"/>
        <v>3.2522725960414278E-2</v>
      </c>
      <c r="K357" s="17">
        <f t="shared" si="63"/>
        <v>5.3950098863878394E-2</v>
      </c>
      <c r="L357" s="17">
        <f t="shared" si="63"/>
        <v>7.062442646391133E-2</v>
      </c>
      <c r="M357" s="17">
        <f t="shared" si="63"/>
        <v>4.0898305836016093E-2</v>
      </c>
    </row>
    <row r="358" spans="6:13" x14ac:dyDescent="0.2">
      <c r="F358">
        <v>972</v>
      </c>
      <c r="G358">
        <f t="shared" si="64"/>
        <v>0.97199999999999998</v>
      </c>
      <c r="H358">
        <f t="shared" si="65"/>
        <v>699</v>
      </c>
      <c r="I358" s="17">
        <f t="shared" si="63"/>
        <v>3.0108240190930481E-2</v>
      </c>
      <c r="J358" s="17">
        <f t="shared" si="63"/>
        <v>3.2528633693955609E-2</v>
      </c>
      <c r="K358" s="17">
        <f t="shared" si="63"/>
        <v>5.396262688815455E-2</v>
      </c>
      <c r="L358" s="17">
        <f t="shared" si="63"/>
        <v>7.0665404360744297E-2</v>
      </c>
      <c r="M358" s="17">
        <f t="shared" si="63"/>
        <v>4.091098260957849E-2</v>
      </c>
    </row>
    <row r="359" spans="6:13" x14ac:dyDescent="0.2">
      <c r="F359">
        <v>973</v>
      </c>
      <c r="G359">
        <f t="shared" si="64"/>
        <v>0.97299999999999998</v>
      </c>
      <c r="H359">
        <f t="shared" si="65"/>
        <v>700</v>
      </c>
      <c r="I359" s="17">
        <f t="shared" ref="I359:M368" si="66">(I$151+I$152*$G359+I$153*($G359^2)+I$154*($G359^3)+I$155/($G359^2))/1000</f>
        <v>3.0111590997554883E-2</v>
      </c>
      <c r="J359" s="17">
        <f t="shared" si="66"/>
        <v>3.2534535765446813E-2</v>
      </c>
      <c r="K359" s="17">
        <f t="shared" si="66"/>
        <v>5.3975132966227503E-2</v>
      </c>
      <c r="L359" s="17">
        <f t="shared" si="66"/>
        <v>7.0706335967409481E-2</v>
      </c>
      <c r="M359" s="17">
        <f t="shared" si="66"/>
        <v>4.0923658741047225E-2</v>
      </c>
    </row>
    <row r="360" spans="6:13" x14ac:dyDescent="0.2">
      <c r="F360">
        <v>974</v>
      </c>
      <c r="G360">
        <f t="shared" si="64"/>
        <v>0.97399999999999998</v>
      </c>
      <c r="H360">
        <f t="shared" si="65"/>
        <v>701</v>
      </c>
      <c r="I360" s="17">
        <f t="shared" si="66"/>
        <v>3.0114947420349102E-2</v>
      </c>
      <c r="J360" s="17">
        <f t="shared" si="66"/>
        <v>3.2540432168549654E-2</v>
      </c>
      <c r="K360" s="17">
        <f t="shared" si="66"/>
        <v>5.3987617149557507E-2</v>
      </c>
      <c r="L360" s="17">
        <f t="shared" si="66"/>
        <v>7.0747221300361429E-2</v>
      </c>
      <c r="M360" s="17">
        <f t="shared" si="66"/>
        <v>4.0936334212949101E-2</v>
      </c>
    </row>
    <row r="361" spans="6:13" x14ac:dyDescent="0.2">
      <c r="F361">
        <v>975</v>
      </c>
      <c r="G361">
        <f t="shared" si="64"/>
        <v>0.97499999999999998</v>
      </c>
      <c r="H361">
        <f t="shared" si="65"/>
        <v>702</v>
      </c>
      <c r="I361" s="17">
        <f t="shared" si="66"/>
        <v>3.0118309447028209E-2</v>
      </c>
      <c r="J361" s="17">
        <f t="shared" si="66"/>
        <v>3.254632289700049E-2</v>
      </c>
      <c r="K361" s="17">
        <f t="shared" si="66"/>
        <v>5.4000079489585524E-2</v>
      </c>
      <c r="L361" s="17">
        <f t="shared" si="66"/>
        <v>7.078806037615068E-2</v>
      </c>
      <c r="M361" s="17">
        <f t="shared" si="66"/>
        <v>4.0949009007822564E-2</v>
      </c>
    </row>
    <row r="362" spans="6:13" x14ac:dyDescent="0.2">
      <c r="F362">
        <v>976</v>
      </c>
      <c r="G362">
        <f t="shared" si="64"/>
        <v>0.97599999999999998</v>
      </c>
      <c r="H362">
        <f t="shared" si="65"/>
        <v>703</v>
      </c>
      <c r="I362" s="17">
        <f t="shared" si="66"/>
        <v>3.0121677065284999E-2</v>
      </c>
      <c r="J362" s="17">
        <f t="shared" si="66"/>
        <v>3.2552207944609828E-2</v>
      </c>
      <c r="K362" s="17">
        <f t="shared" si="66"/>
        <v>5.4012520037733311E-2</v>
      </c>
      <c r="L362" s="17">
        <f t="shared" si="66"/>
        <v>7.0828853211423098E-2</v>
      </c>
      <c r="M362" s="17">
        <f t="shared" si="66"/>
        <v>4.0961683108217635E-2</v>
      </c>
    </row>
    <row r="363" spans="6:13" x14ac:dyDescent="0.2">
      <c r="F363">
        <v>977</v>
      </c>
      <c r="G363">
        <f t="shared" si="64"/>
        <v>0.97699999999999998</v>
      </c>
      <c r="H363">
        <f t="shared" si="65"/>
        <v>704</v>
      </c>
      <c r="I363" s="17">
        <f t="shared" si="66"/>
        <v>3.012505026279013E-2</v>
      </c>
      <c r="J363" s="17">
        <f t="shared" si="66"/>
        <v>3.2558087305261899E-2</v>
      </c>
      <c r="K363" s="17">
        <f t="shared" si="66"/>
        <v>5.4024938845403513E-2</v>
      </c>
      <c r="L363" s="17">
        <f t="shared" si="66"/>
        <v>7.0869599822919349E-2</v>
      </c>
      <c r="M363" s="17">
        <f t="shared" si="66"/>
        <v>4.0974356496695771E-2</v>
      </c>
    </row>
    <row r="364" spans="6:13" x14ac:dyDescent="0.2">
      <c r="F364">
        <v>978</v>
      </c>
      <c r="G364">
        <f t="shared" si="64"/>
        <v>0.97799999999999998</v>
      </c>
      <c r="H364">
        <f t="shared" si="65"/>
        <v>705</v>
      </c>
      <c r="I364" s="17">
        <f t="shared" si="66"/>
        <v>3.0128429027192215E-2</v>
      </c>
      <c r="J364" s="17">
        <f t="shared" si="66"/>
        <v>3.2563960972914162E-2</v>
      </c>
      <c r="K364" s="17">
        <f t="shared" si="66"/>
        <v>5.4037335963979839E-2</v>
      </c>
      <c r="L364" s="17">
        <f t="shared" si="66"/>
        <v>7.091030022747434E-2</v>
      </c>
      <c r="M364" s="17">
        <f t="shared" si="66"/>
        <v>4.0987029155829843E-2</v>
      </c>
    </row>
    <row r="365" spans="6:13" x14ac:dyDescent="0.2">
      <c r="F365">
        <v>979</v>
      </c>
      <c r="G365">
        <f t="shared" si="64"/>
        <v>0.97899999999999998</v>
      </c>
      <c r="H365">
        <f t="shared" si="65"/>
        <v>706</v>
      </c>
      <c r="I365" s="17">
        <f t="shared" si="66"/>
        <v>3.0131813346118041E-2</v>
      </c>
      <c r="J365" s="17">
        <f t="shared" si="66"/>
        <v>3.2569828941596865E-2</v>
      </c>
      <c r="K365" s="17">
        <f t="shared" si="66"/>
        <v>5.4049711444827148E-2</v>
      </c>
      <c r="L365" s="17">
        <f t="shared" si="66"/>
        <v>7.0950954442016559E-2</v>
      </c>
      <c r="M365" s="17">
        <f t="shared" si="66"/>
        <v>4.0999701068204074E-2</v>
      </c>
    </row>
    <row r="366" spans="6:13" x14ac:dyDescent="0.2">
      <c r="F366">
        <v>980</v>
      </c>
      <c r="G366">
        <f t="shared" si="64"/>
        <v>0.98</v>
      </c>
      <c r="H366">
        <f t="shared" si="65"/>
        <v>707</v>
      </c>
      <c r="I366" s="17">
        <f t="shared" si="66"/>
        <v>3.0135203207172591E-2</v>
      </c>
      <c r="J366" s="17">
        <f t="shared" si="66"/>
        <v>3.2575691205412621E-2</v>
      </c>
      <c r="K366" s="17">
        <f t="shared" si="66"/>
        <v>5.4062065339291518E-2</v>
      </c>
      <c r="L366" s="17">
        <f t="shared" si="66"/>
        <v>7.0991562483567555E-2</v>
      </c>
      <c r="M366" s="17">
        <f t="shared" si="66"/>
        <v>4.1012372216413927E-2</v>
      </c>
    </row>
    <row r="367" spans="6:13" x14ac:dyDescent="0.2">
      <c r="F367">
        <v>981</v>
      </c>
      <c r="G367">
        <f t="shared" si="64"/>
        <v>0.98099999999999998</v>
      </c>
      <c r="H367">
        <f t="shared" si="65"/>
        <v>708</v>
      </c>
      <c r="I367" s="17">
        <f t="shared" si="66"/>
        <v>3.0138598597939284E-2</v>
      </c>
      <c r="J367" s="17">
        <f t="shared" si="66"/>
        <v>3.2581547758535993E-2</v>
      </c>
      <c r="K367" s="17">
        <f t="shared" si="66"/>
        <v>5.4074397698700427E-2</v>
      </c>
      <c r="L367" s="17">
        <f t="shared" si="66"/>
        <v>7.103212436924139E-2</v>
      </c>
      <c r="M367" s="17">
        <f t="shared" si="66"/>
        <v>4.1025042583066065E-2</v>
      </c>
    </row>
    <row r="368" spans="6:13" x14ac:dyDescent="0.2">
      <c r="F368">
        <v>982</v>
      </c>
      <c r="G368">
        <f t="shared" si="64"/>
        <v>0.98199999999999998</v>
      </c>
      <c r="H368">
        <f t="shared" si="65"/>
        <v>709</v>
      </c>
      <c r="I368" s="17">
        <f t="shared" si="66"/>
        <v>3.0141999505980049E-2</v>
      </c>
      <c r="J368" s="17">
        <f t="shared" si="66"/>
        <v>3.2587398595212931E-2</v>
      </c>
      <c r="K368" s="17">
        <f t="shared" si="66"/>
        <v>5.4086708574362874E-2</v>
      </c>
      <c r="L368" s="17">
        <f t="shared" si="66"/>
        <v>7.1072640116244021E-2</v>
      </c>
      <c r="M368" s="17">
        <f t="shared" si="66"/>
        <v>4.1037712150778276E-2</v>
      </c>
    </row>
    <row r="369" spans="6:13" x14ac:dyDescent="0.2">
      <c r="F369">
        <v>983</v>
      </c>
      <c r="G369">
        <f t="shared" si="64"/>
        <v>0.98299999999999998</v>
      </c>
      <c r="H369">
        <f t="shared" si="65"/>
        <v>710</v>
      </c>
      <c r="I369" s="17">
        <f t="shared" ref="I369:M378" si="67">(I$151+I$152*$G369+I$153*($G369^2)+I$154*($G369^3)+I$155/($G369^2))/1000</f>
        <v>3.0145405918835431E-2</v>
      </c>
      <c r="J369" s="17">
        <f t="shared" si="67"/>
        <v>3.2593243709760494E-2</v>
      </c>
      <c r="K369" s="17">
        <f t="shared" si="67"/>
        <v>5.40989980175694E-2</v>
      </c>
      <c r="L369" s="17">
        <f t="shared" si="67"/>
        <v>7.1113109741872793E-2</v>
      </c>
      <c r="M369" s="17">
        <f t="shared" si="67"/>
        <v>4.1050380902179433E-2</v>
      </c>
    </row>
    <row r="370" spans="6:13" x14ac:dyDescent="0.2">
      <c r="F370">
        <v>984</v>
      </c>
      <c r="G370">
        <f t="shared" si="64"/>
        <v>0.98399999999999999</v>
      </c>
      <c r="H370">
        <f t="shared" si="65"/>
        <v>711</v>
      </c>
      <c r="I370" s="17">
        <f t="shared" si="67"/>
        <v>3.0148817824024822E-2</v>
      </c>
      <c r="J370" s="17">
        <f t="shared" si="67"/>
        <v>3.2599083096566304E-2</v>
      </c>
      <c r="K370" s="17">
        <f t="shared" si="67"/>
        <v>5.4111266079592324E-2</v>
      </c>
      <c r="L370" s="17">
        <f t="shared" si="67"/>
        <v>7.1153533263515839E-2</v>
      </c>
      <c r="M370" s="17">
        <f t="shared" si="67"/>
        <v>4.106304881990936E-2</v>
      </c>
    </row>
    <row r="371" spans="6:13" x14ac:dyDescent="0.2">
      <c r="F371">
        <v>985</v>
      </c>
      <c r="G371">
        <f t="shared" si="64"/>
        <v>0.98499999999999999</v>
      </c>
      <c r="H371">
        <f t="shared" si="65"/>
        <v>712</v>
      </c>
      <c r="I371" s="17">
        <f t="shared" si="67"/>
        <v>3.0152235209046464E-2</v>
      </c>
      <c r="J371" s="17">
        <f t="shared" si="67"/>
        <v>3.2604916750088177E-2</v>
      </c>
      <c r="K371" s="17">
        <f t="shared" si="67"/>
        <v>5.4123512811685745E-2</v>
      </c>
      <c r="L371" s="17">
        <f t="shared" si="67"/>
        <v>7.1193910698651525E-2</v>
      </c>
      <c r="M371" s="17">
        <f t="shared" si="67"/>
        <v>4.1075715886618847E-2</v>
      </c>
    </row>
    <row r="372" spans="6:13" x14ac:dyDescent="0.2">
      <c r="F372">
        <v>986</v>
      </c>
      <c r="G372">
        <f t="shared" si="64"/>
        <v>0.98599999999999999</v>
      </c>
      <c r="H372">
        <f t="shared" si="65"/>
        <v>713</v>
      </c>
      <c r="I372" s="17">
        <f t="shared" si="67"/>
        <v>3.0155658061377683E-2</v>
      </c>
      <c r="J372" s="17">
        <f t="shared" si="67"/>
        <v>3.2610744664853676E-2</v>
      </c>
      <c r="K372" s="17">
        <f t="shared" si="67"/>
        <v>5.413573826508572E-2</v>
      </c>
      <c r="L372" s="17">
        <f t="shared" si="67"/>
        <v>7.1234242064847977E-2</v>
      </c>
      <c r="M372" s="17">
        <f t="shared" si="67"/>
        <v>4.1088382084969503E-2</v>
      </c>
    </row>
    <row r="373" spans="6:13" x14ac:dyDescent="0.2">
      <c r="F373">
        <v>987</v>
      </c>
      <c r="G373">
        <f t="shared" si="64"/>
        <v>0.98699999999999999</v>
      </c>
      <c r="H373">
        <f t="shared" si="65"/>
        <v>714</v>
      </c>
      <c r="I373" s="17">
        <f t="shared" si="67"/>
        <v>3.015908636847494E-2</v>
      </c>
      <c r="J373" s="17">
        <f t="shared" si="67"/>
        <v>3.2616566835459666E-2</v>
      </c>
      <c r="K373" s="17">
        <f t="shared" si="67"/>
        <v>5.4147942491010355E-2</v>
      </c>
      <c r="L373" s="17">
        <f t="shared" si="67"/>
        <v>7.127452737976242E-2</v>
      </c>
      <c r="M373" s="17">
        <f t="shared" si="67"/>
        <v>4.1101047397633754E-2</v>
      </c>
    </row>
    <row r="374" spans="6:13" x14ac:dyDescent="0.2">
      <c r="F374">
        <v>988</v>
      </c>
      <c r="G374">
        <f t="shared" si="64"/>
        <v>0.98799999999999999</v>
      </c>
      <c r="H374">
        <f t="shared" si="65"/>
        <v>715</v>
      </c>
      <c r="I374" s="17">
        <f t="shared" si="67"/>
        <v>3.0162520117773997E-2</v>
      </c>
      <c r="J374" s="17">
        <f t="shared" si="67"/>
        <v>3.2622383256571914E-2</v>
      </c>
      <c r="K374" s="17">
        <f t="shared" si="67"/>
        <v>5.4160125540659881E-2</v>
      </c>
      <c r="L374" s="17">
        <f t="shared" si="67"/>
        <v>7.1314766661140713E-2</v>
      </c>
      <c r="M374" s="17">
        <f t="shared" si="67"/>
        <v>4.1113711807294749E-2</v>
      </c>
    </row>
    <row r="375" spans="6:13" x14ac:dyDescent="0.2">
      <c r="F375">
        <v>989</v>
      </c>
      <c r="G375">
        <f t="shared" si="64"/>
        <v>0.98899999999999999</v>
      </c>
      <c r="H375">
        <f t="shared" si="65"/>
        <v>716</v>
      </c>
      <c r="I375" s="17">
        <f t="shared" si="67"/>
        <v>3.0165959296690054E-2</v>
      </c>
      <c r="J375" s="17">
        <f t="shared" si="67"/>
        <v>3.2628193922924702E-2</v>
      </c>
      <c r="K375" s="17">
        <f t="shared" si="67"/>
        <v>5.4172287465216844E-2</v>
      </c>
      <c r="L375" s="17">
        <f t="shared" si="67"/>
        <v>7.1354959926816799E-2</v>
      </c>
      <c r="M375" s="17">
        <f t="shared" si="67"/>
        <v>4.1126375296646304E-2</v>
      </c>
    </row>
    <row r="376" spans="6:13" x14ac:dyDescent="0.2">
      <c r="F376">
        <v>990</v>
      </c>
      <c r="G376">
        <f t="shared" si="64"/>
        <v>0.99</v>
      </c>
      <c r="H376">
        <f t="shared" si="65"/>
        <v>717</v>
      </c>
      <c r="I376" s="17">
        <f t="shared" si="67"/>
        <v>3.0169403892617849E-2</v>
      </c>
      <c r="J376" s="17">
        <f t="shared" si="67"/>
        <v>3.2633998829320339E-2</v>
      </c>
      <c r="K376" s="17">
        <f t="shared" si="67"/>
        <v>5.4184428315846141E-2</v>
      </c>
      <c r="L376" s="17">
        <f t="shared" si="67"/>
        <v>7.1395107194712204E-2</v>
      </c>
      <c r="M376" s="17">
        <f t="shared" si="67"/>
        <v>4.1139037848392811E-2</v>
      </c>
    </row>
    <row r="377" spans="6:13" x14ac:dyDescent="0.2">
      <c r="F377">
        <v>991</v>
      </c>
      <c r="G377">
        <f t="shared" si="64"/>
        <v>0.99099999999999999</v>
      </c>
      <c r="H377">
        <f t="shared" si="65"/>
        <v>718</v>
      </c>
      <c r="I377" s="17">
        <f t="shared" si="67"/>
        <v>3.0172853892931752E-2</v>
      </c>
      <c r="J377" s="17">
        <f t="shared" si="67"/>
        <v>3.2639797970628839E-2</v>
      </c>
      <c r="K377" s="17">
        <f t="shared" si="67"/>
        <v>5.4196548143695129E-2</v>
      </c>
      <c r="L377" s="17">
        <f t="shared" si="67"/>
        <v>7.1435208482835383E-2</v>
      </c>
      <c r="M377" s="17">
        <f t="shared" si="67"/>
        <v>4.1151699445249219E-2</v>
      </c>
    </row>
    <row r="378" spans="6:13" x14ac:dyDescent="0.2">
      <c r="F378">
        <v>992</v>
      </c>
      <c r="G378">
        <f t="shared" si="64"/>
        <v>0.99199999999999999</v>
      </c>
      <c r="H378">
        <f t="shared" si="65"/>
        <v>719</v>
      </c>
      <c r="I378" s="17">
        <f t="shared" si="67"/>
        <v>3.0176309284985978E-2</v>
      </c>
      <c r="J378" s="17">
        <f t="shared" si="67"/>
        <v>3.2645591341787412E-2</v>
      </c>
      <c r="K378" s="17">
        <f t="shared" si="67"/>
        <v>5.4208646999893764E-2</v>
      </c>
      <c r="L378" s="17">
        <f t="shared" si="67"/>
        <v>7.1475263809281347E-2</v>
      </c>
      <c r="M378" s="17">
        <f t="shared" si="67"/>
        <v>4.1164360069940939E-2</v>
      </c>
    </row>
    <row r="379" spans="6:13" x14ac:dyDescent="0.2">
      <c r="F379">
        <v>993</v>
      </c>
      <c r="G379">
        <f t="shared" si="64"/>
        <v>0.99299999999999999</v>
      </c>
      <c r="H379">
        <f t="shared" si="65"/>
        <v>720</v>
      </c>
      <c r="I379" s="17">
        <f t="shared" ref="I379:M388" si="68">(I$151+I$152*$G379+I$153*($G379^2)+I$154*($G379^3)+I$155/($G379^2))/1000</f>
        <v>3.0179770056114594E-2</v>
      </c>
      <c r="J379" s="17">
        <f t="shared" si="68"/>
        <v>3.2651378937800152E-2</v>
      </c>
      <c r="K379" s="17">
        <f t="shared" si="68"/>
        <v>5.4220724935554687E-2</v>
      </c>
      <c r="L379" s="17">
        <f t="shared" si="68"/>
        <v>7.1515273192231069E-2</v>
      </c>
      <c r="M379" s="17">
        <f t="shared" si="68"/>
        <v>4.1177019705203773E-2</v>
      </c>
    </row>
    <row r="380" spans="6:13" x14ac:dyDescent="0.2">
      <c r="F380">
        <v>994</v>
      </c>
      <c r="G380">
        <f t="shared" si="64"/>
        <v>0.99399999999999999</v>
      </c>
      <c r="H380">
        <f t="shared" si="65"/>
        <v>721</v>
      </c>
      <c r="I380" s="17">
        <f t="shared" si="68"/>
        <v>3.0183236193631759E-2</v>
      </c>
      <c r="J380" s="17">
        <f t="shared" si="68"/>
        <v>3.2657160753737556E-2</v>
      </c>
      <c r="K380" s="17">
        <f t="shared" si="68"/>
        <v>5.4232782001773346E-2</v>
      </c>
      <c r="L380" s="17">
        <f t="shared" si="68"/>
        <v>7.1555236649950948E-2</v>
      </c>
      <c r="M380" s="17">
        <f t="shared" si="68"/>
        <v>4.1189678333783897E-2</v>
      </c>
    </row>
    <row r="381" spans="6:13" x14ac:dyDescent="0.2">
      <c r="F381">
        <v>995</v>
      </c>
      <c r="G381">
        <f t="shared" si="64"/>
        <v>0.995</v>
      </c>
      <c r="H381">
        <f t="shared" si="65"/>
        <v>722</v>
      </c>
      <c r="I381" s="17">
        <f t="shared" si="68"/>
        <v>3.0186707684831768E-2</v>
      </c>
      <c r="J381" s="17">
        <f t="shared" si="68"/>
        <v>3.2662936784736203E-2</v>
      </c>
      <c r="K381" s="17">
        <f t="shared" si="68"/>
        <v>5.4244818249628055E-2</v>
      </c>
      <c r="L381" s="17">
        <f t="shared" si="68"/>
        <v>7.1595154200792308E-2</v>
      </c>
      <c r="M381" s="17">
        <f t="shared" si="68"/>
        <v>4.1202335938437737E-2</v>
      </c>
    </row>
    <row r="382" spans="6:13" x14ac:dyDescent="0.2">
      <c r="F382">
        <v>996</v>
      </c>
      <c r="G382">
        <f t="shared" si="64"/>
        <v>0.996</v>
      </c>
      <c r="H382">
        <f t="shared" si="65"/>
        <v>723</v>
      </c>
      <c r="I382" s="17">
        <f t="shared" si="68"/>
        <v>3.0190184516989158E-2</v>
      </c>
      <c r="J382" s="17">
        <f t="shared" si="68"/>
        <v>3.2668707025998264E-2</v>
      </c>
      <c r="K382" s="17">
        <f t="shared" si="68"/>
        <v>5.4256833730180164E-2</v>
      </c>
      <c r="L382" s="17">
        <f t="shared" si="68"/>
        <v>7.1635025863190954E-2</v>
      </c>
      <c r="M382" s="17">
        <f t="shared" si="68"/>
        <v>4.1214992501931946E-2</v>
      </c>
    </row>
    <row r="383" spans="6:13" x14ac:dyDescent="0.2">
      <c r="F383">
        <v>997</v>
      </c>
      <c r="G383">
        <f t="shared" si="64"/>
        <v>0.997</v>
      </c>
      <c r="H383">
        <f t="shared" si="65"/>
        <v>724</v>
      </c>
      <c r="I383" s="17">
        <f t="shared" si="68"/>
        <v>3.0193666677358892E-2</v>
      </c>
      <c r="J383" s="17">
        <f t="shared" si="68"/>
        <v>3.2674471472791185E-2</v>
      </c>
      <c r="K383" s="17">
        <f t="shared" si="68"/>
        <v>5.4268828494474106E-2</v>
      </c>
      <c r="L383" s="17">
        <f t="shared" si="68"/>
        <v>7.167485165566656E-2</v>
      </c>
      <c r="M383" s="17">
        <f t="shared" si="68"/>
        <v>4.1227648007043358E-2</v>
      </c>
    </row>
    <row r="384" spans="6:13" x14ac:dyDescent="0.2">
      <c r="F384">
        <v>998</v>
      </c>
      <c r="G384">
        <f t="shared" si="64"/>
        <v>0.998</v>
      </c>
      <c r="H384">
        <f t="shared" si="65"/>
        <v>725</v>
      </c>
      <c r="I384" s="17">
        <f t="shared" si="68"/>
        <v>3.019715415317642E-2</v>
      </c>
      <c r="J384" s="17">
        <f t="shared" si="68"/>
        <v>3.2680230120447275E-2</v>
      </c>
      <c r="K384" s="17">
        <f t="shared" si="68"/>
        <v>5.4280802593537528E-2</v>
      </c>
      <c r="L384" s="17">
        <f t="shared" si="68"/>
        <v>7.1714631596822204E-2</v>
      </c>
      <c r="M384" s="17">
        <f t="shared" si="68"/>
        <v>4.1240302436558872E-2</v>
      </c>
    </row>
    <row r="385" spans="6:13" x14ac:dyDescent="0.2">
      <c r="F385">
        <v>999</v>
      </c>
      <c r="G385">
        <f t="shared" si="64"/>
        <v>0.999</v>
      </c>
      <c r="H385">
        <f t="shared" si="65"/>
        <v>726</v>
      </c>
      <c r="I385" s="17">
        <f t="shared" si="68"/>
        <v>3.0200646931657846E-2</v>
      </c>
      <c r="J385" s="17">
        <f t="shared" si="68"/>
        <v>3.2685982964363258E-2</v>
      </c>
      <c r="K385" s="17">
        <f t="shared" si="68"/>
        <v>5.4292756078381375E-2</v>
      </c>
      <c r="L385" s="17">
        <f t="shared" si="68"/>
        <v>7.1754365705343853E-2</v>
      </c>
      <c r="M385" s="17">
        <f t="shared" si="68"/>
        <v>4.1252955773275451E-2</v>
      </c>
    </row>
    <row r="386" spans="6:13" x14ac:dyDescent="0.2">
      <c r="F386">
        <v>1000</v>
      </c>
      <c r="G386">
        <f t="shared" si="64"/>
        <v>1</v>
      </c>
      <c r="H386">
        <f t="shared" si="65"/>
        <v>727</v>
      </c>
      <c r="I386" s="17">
        <f t="shared" si="68"/>
        <v>3.0204145000000005E-2</v>
      </c>
      <c r="J386" s="17">
        <f t="shared" si="68"/>
        <v>3.2691730000000002E-2</v>
      </c>
      <c r="K386" s="17">
        <f t="shared" si="68"/>
        <v>5.4304689000000003E-2</v>
      </c>
      <c r="L386" s="17">
        <f t="shared" si="68"/>
        <v>7.1794053999999996E-2</v>
      </c>
      <c r="M386" s="17">
        <f t="shared" si="68"/>
        <v>4.1265608000000002E-2</v>
      </c>
    </row>
    <row r="387" spans="6:13" x14ac:dyDescent="0.2">
      <c r="F387">
        <v>1001</v>
      </c>
      <c r="G387">
        <f t="shared" si="64"/>
        <v>1.0009999999999999</v>
      </c>
      <c r="H387">
        <f t="shared" si="65"/>
        <v>728</v>
      </c>
      <c r="I387" s="17">
        <f t="shared" si="68"/>
        <v>3.0207648345380568E-2</v>
      </c>
      <c r="J387" s="17">
        <f t="shared" si="68"/>
        <v>3.2697471222882024E-2</v>
      </c>
      <c r="K387" s="17">
        <f t="shared" si="68"/>
        <v>5.4316601409371258E-2</v>
      </c>
      <c r="L387" s="17">
        <f t="shared" si="68"/>
        <v>7.1833696499640942E-2</v>
      </c>
      <c r="M387" s="17">
        <f t="shared" si="68"/>
        <v>4.1278259099549373E-2</v>
      </c>
    </row>
    <row r="388" spans="6:13" x14ac:dyDescent="0.2">
      <c r="F388">
        <v>1002</v>
      </c>
      <c r="G388">
        <f t="shared" si="64"/>
        <v>1.002</v>
      </c>
      <c r="H388">
        <f t="shared" si="65"/>
        <v>729</v>
      </c>
      <c r="I388" s="17">
        <f t="shared" si="68"/>
        <v>3.0211156954958209E-2</v>
      </c>
      <c r="J388" s="17">
        <f t="shared" si="68"/>
        <v>3.2703206628597145E-2</v>
      </c>
      <c r="K388" s="17">
        <f t="shared" si="68"/>
        <v>5.4328493357456611E-2</v>
      </c>
      <c r="L388" s="17">
        <f t="shared" si="68"/>
        <v>7.1873293223198381E-2</v>
      </c>
      <c r="M388" s="17">
        <f t="shared" si="68"/>
        <v>4.1290909054750267E-2</v>
      </c>
    </row>
    <row r="389" spans="6:13" x14ac:dyDescent="0.2">
      <c r="F389">
        <v>1003</v>
      </c>
      <c r="G389">
        <f t="shared" si="64"/>
        <v>1.0029999999999999</v>
      </c>
      <c r="H389">
        <f t="shared" si="65"/>
        <v>730</v>
      </c>
      <c r="I389" s="17">
        <f t="shared" ref="I389:M398" si="69">(I$151+I$152*$G389+I$153*($G389^2)+I$154*($G389^3)+I$155/($G389^2))/1000</f>
        <v>3.0214670815872681E-2</v>
      </c>
      <c r="J389" s="17">
        <f t="shared" si="69"/>
        <v>3.2708936212796171E-2</v>
      </c>
      <c r="K389" s="17">
        <f t="shared" si="69"/>
        <v>5.4340364895201221E-2</v>
      </c>
      <c r="L389" s="17">
        <f t="shared" si="69"/>
        <v>7.1912844189685091E-2</v>
      </c>
      <c r="M389" s="17">
        <f t="shared" si="69"/>
        <v>4.1303557848439171E-2</v>
      </c>
    </row>
    <row r="390" spans="6:13" x14ac:dyDescent="0.2">
      <c r="F390">
        <v>1004</v>
      </c>
      <c r="G390">
        <f t="shared" si="64"/>
        <v>1.004</v>
      </c>
      <c r="H390">
        <f t="shared" si="65"/>
        <v>731</v>
      </c>
      <c r="I390" s="17">
        <f t="shared" si="69"/>
        <v>3.0218189915244928E-2</v>
      </c>
      <c r="J390" s="17">
        <f t="shared" si="69"/>
        <v>3.2714659971192425E-2</v>
      </c>
      <c r="K390" s="17">
        <f t="shared" si="69"/>
        <v>5.4352216073534035E-2</v>
      </c>
      <c r="L390" s="17">
        <f t="shared" si="69"/>
        <v>7.19523494181942E-2</v>
      </c>
      <c r="M390" s="17">
        <f t="shared" si="69"/>
        <v>4.1316205463462333E-2</v>
      </c>
    </row>
    <row r="391" spans="6:13" x14ac:dyDescent="0.2">
      <c r="F391">
        <v>1005</v>
      </c>
      <c r="G391">
        <f t="shared" si="64"/>
        <v>1.0049999999999999</v>
      </c>
      <c r="H391">
        <f t="shared" si="65"/>
        <v>732</v>
      </c>
      <c r="I391" s="17">
        <f t="shared" si="69"/>
        <v>3.0221714240177215E-2</v>
      </c>
      <c r="J391" s="17">
        <f t="shared" si="69"/>
        <v>3.272037789956142E-2</v>
      </c>
      <c r="K391" s="17">
        <f t="shared" si="69"/>
        <v>5.4364046943367939E-2</v>
      </c>
      <c r="L391" s="17">
        <f t="shared" si="69"/>
        <v>7.1991808927898873E-2</v>
      </c>
      <c r="M391" s="17">
        <f t="shared" si="69"/>
        <v>4.1328851882675641E-2</v>
      </c>
    </row>
    <row r="392" spans="6:13" x14ac:dyDescent="0.2">
      <c r="F392">
        <v>1006</v>
      </c>
      <c r="G392">
        <f t="shared" si="64"/>
        <v>1.006</v>
      </c>
      <c r="H392">
        <f t="shared" si="65"/>
        <v>733</v>
      </c>
      <c r="I392" s="17">
        <f t="shared" si="69"/>
        <v>3.0225243777753218E-2</v>
      </c>
      <c r="J392" s="17">
        <f t="shared" si="69"/>
        <v>3.2726089993740486E-2</v>
      </c>
      <c r="K392" s="17">
        <f t="shared" si="69"/>
        <v>5.4375857555599739E-2</v>
      </c>
      <c r="L392" s="17">
        <f t="shared" si="69"/>
        <v>7.2031222738051723E-2</v>
      </c>
      <c r="M392" s="17">
        <f t="shared" si="69"/>
        <v>4.1341497088944676E-2</v>
      </c>
    </row>
    <row r="393" spans="6:13" x14ac:dyDescent="0.2">
      <c r="F393">
        <v>1007</v>
      </c>
      <c r="G393">
        <f t="shared" si="64"/>
        <v>1.0069999999999999</v>
      </c>
      <c r="H393">
        <f t="shared" si="65"/>
        <v>734</v>
      </c>
      <c r="I393" s="17">
        <f t="shared" si="69"/>
        <v>3.0228778515038166E-2</v>
      </c>
      <c r="J393" s="17">
        <f t="shared" si="69"/>
        <v>3.2731796249628409E-2</v>
      </c>
      <c r="K393" s="17">
        <f t="shared" si="69"/>
        <v>5.4387647961110411E-2</v>
      </c>
      <c r="L393" s="17">
        <f t="shared" si="69"/>
        <v>7.207059086798441E-2</v>
      </c>
      <c r="M393" s="17">
        <f t="shared" si="69"/>
        <v>4.1354141065144519E-2</v>
      </c>
    </row>
    <row r="394" spans="6:13" x14ac:dyDescent="0.2">
      <c r="F394">
        <v>1008</v>
      </c>
      <c r="G394">
        <f t="shared" si="64"/>
        <v>1.008</v>
      </c>
      <c r="H394">
        <f t="shared" si="65"/>
        <v>735</v>
      </c>
      <c r="I394" s="17">
        <f t="shared" si="69"/>
        <v>3.0232318439078924E-2</v>
      </c>
      <c r="J394" s="17">
        <f t="shared" si="69"/>
        <v>3.2737496663185053E-2</v>
      </c>
      <c r="K394" s="17">
        <f t="shared" si="69"/>
        <v>5.4399418210765035E-2</v>
      </c>
      <c r="L394" s="17">
        <f t="shared" si="69"/>
        <v>7.2109913337107173E-2</v>
      </c>
      <c r="M394" s="17">
        <f t="shared" si="69"/>
        <v>4.136678379415977E-2</v>
      </c>
    </row>
    <row r="395" spans="6:13" x14ac:dyDescent="0.2">
      <c r="F395">
        <v>1009</v>
      </c>
      <c r="G395">
        <f t="shared" si="64"/>
        <v>1.0089999999999999</v>
      </c>
      <c r="H395">
        <f t="shared" si="65"/>
        <v>736</v>
      </c>
      <c r="I395" s="17">
        <f t="shared" si="69"/>
        <v>3.0235863536904085E-2</v>
      </c>
      <c r="J395" s="17">
        <f t="shared" si="69"/>
        <v>3.2743191230430985E-2</v>
      </c>
      <c r="K395" s="17">
        <f t="shared" si="69"/>
        <v>5.4411168355413028E-2</v>
      </c>
      <c r="L395" s="17">
        <f t="shared" si="69"/>
        <v>7.2149190164908325E-2</v>
      </c>
      <c r="M395" s="17">
        <f t="shared" si="69"/>
        <v>4.1379425258884515E-2</v>
      </c>
    </row>
    <row r="396" spans="6:13" x14ac:dyDescent="0.2">
      <c r="F396">
        <v>1010</v>
      </c>
      <c r="G396">
        <f t="shared" si="64"/>
        <v>1.01</v>
      </c>
      <c r="H396">
        <f t="shared" si="65"/>
        <v>737</v>
      </c>
      <c r="I396" s="17">
        <f t="shared" si="69"/>
        <v>3.0239413795524139E-2</v>
      </c>
      <c r="J396" s="17">
        <f t="shared" si="69"/>
        <v>3.2748879947447143E-2</v>
      </c>
      <c r="K396" s="17">
        <f t="shared" si="69"/>
        <v>5.4422898445888136E-2</v>
      </c>
      <c r="L396" s="17">
        <f t="shared" si="69"/>
        <v>7.2188421370953812E-2</v>
      </c>
      <c r="M396" s="17">
        <f t="shared" si="69"/>
        <v>4.139206544222223E-2</v>
      </c>
    </row>
    <row r="397" spans="6:13" x14ac:dyDescent="0.2">
      <c r="F397">
        <v>1011</v>
      </c>
      <c r="G397">
        <f t="shared" si="64"/>
        <v>1.0109999999999999</v>
      </c>
      <c r="H397">
        <f t="shared" si="65"/>
        <v>738</v>
      </c>
      <c r="I397" s="17">
        <f t="shared" si="69"/>
        <v>3.0242969201931532E-2</v>
      </c>
      <c r="J397" s="17">
        <f t="shared" si="69"/>
        <v>3.2754562810374442E-2</v>
      </c>
      <c r="K397" s="17">
        <f t="shared" si="69"/>
        <v>5.4434608533008591E-2</v>
      </c>
      <c r="L397" s="17">
        <f t="shared" si="69"/>
        <v>7.2227606974886727E-2</v>
      </c>
      <c r="M397" s="17">
        <f t="shared" si="69"/>
        <v>4.1404704327085706E-2</v>
      </c>
    </row>
    <row r="398" spans="6:13" x14ac:dyDescent="0.2">
      <c r="F398">
        <v>1012</v>
      </c>
      <c r="G398">
        <f t="shared" si="64"/>
        <v>1.012</v>
      </c>
      <c r="H398">
        <f t="shared" si="65"/>
        <v>739</v>
      </c>
      <c r="I398" s="17">
        <f t="shared" si="69"/>
        <v>3.0246529743100787E-2</v>
      </c>
      <c r="J398" s="17">
        <f t="shared" si="69"/>
        <v>3.2760239815413483E-2</v>
      </c>
      <c r="K398" s="17">
        <f t="shared" si="69"/>
        <v>5.444629866757715E-2</v>
      </c>
      <c r="L398" s="17">
        <f t="shared" si="69"/>
        <v>7.226674699642692E-2</v>
      </c>
      <c r="M398" s="17">
        <f t="shared" si="69"/>
        <v>4.1417341896397022E-2</v>
      </c>
    </row>
    <row r="399" spans="6:13" x14ac:dyDescent="0.2">
      <c r="F399">
        <v>1013</v>
      </c>
      <c r="G399">
        <f t="shared" si="64"/>
        <v>1.0129999999999999</v>
      </c>
      <c r="H399">
        <f t="shared" si="65"/>
        <v>740</v>
      </c>
      <c r="I399" s="17">
        <f t="shared" ref="I399:M408" si="70">(I$151+I$152*$G399+I$153*($G399^2)+I$154*($G399^3)+I$155/($G399^2))/1000</f>
        <v>3.0250095405988602E-2</v>
      </c>
      <c r="J399" s="17">
        <f t="shared" si="70"/>
        <v>3.276591095882412E-2</v>
      </c>
      <c r="K399" s="17">
        <f t="shared" si="70"/>
        <v>5.4457968900381244E-2</v>
      </c>
      <c r="L399" s="17">
        <f t="shared" si="70"/>
        <v>7.230584145537039E-2</v>
      </c>
      <c r="M399" s="17">
        <f t="shared" si="70"/>
        <v>4.1429978133087512E-2</v>
      </c>
    </row>
    <row r="400" spans="6:13" x14ac:dyDescent="0.2">
      <c r="F400">
        <v>1014</v>
      </c>
      <c r="G400">
        <f t="shared" si="64"/>
        <v>1.014</v>
      </c>
      <c r="H400">
        <f t="shared" si="65"/>
        <v>741</v>
      </c>
      <c r="I400" s="17">
        <f t="shared" si="70"/>
        <v>3.0253666177533969E-2</v>
      </c>
      <c r="J400" s="17">
        <f t="shared" si="70"/>
        <v>3.277157623692515E-2</v>
      </c>
      <c r="K400" s="17">
        <f t="shared" si="70"/>
        <v>5.4469619282193023E-2</v>
      </c>
      <c r="L400" s="17">
        <f t="shared" si="70"/>
        <v>7.2344890371589102E-2</v>
      </c>
      <c r="M400" s="17">
        <f t="shared" si="70"/>
        <v>4.1442613020097677E-2</v>
      </c>
    </row>
    <row r="401" spans="6:13" x14ac:dyDescent="0.2">
      <c r="F401">
        <v>1015</v>
      </c>
      <c r="G401">
        <f t="shared" si="64"/>
        <v>1.0149999999999999</v>
      </c>
      <c r="H401">
        <f t="shared" si="65"/>
        <v>742</v>
      </c>
      <c r="I401" s="17">
        <f t="shared" si="70"/>
        <v>3.0257242044658256E-2</v>
      </c>
      <c r="J401" s="17">
        <f t="shared" si="70"/>
        <v>3.2777235646093986E-2</v>
      </c>
      <c r="K401" s="17">
        <f t="shared" si="70"/>
        <v>5.4481249863769482E-2</v>
      </c>
      <c r="L401" s="17">
        <f t="shared" si="70"/>
        <v>7.2383893765030252E-2</v>
      </c>
      <c r="M401" s="17">
        <f t="shared" si="70"/>
        <v>4.1455246540377133E-2</v>
      </c>
    </row>
    <row r="402" spans="6:13" x14ac:dyDescent="0.2">
      <c r="F402">
        <v>1016</v>
      </c>
      <c r="G402">
        <f t="shared" si="64"/>
        <v>1.016</v>
      </c>
      <c r="H402">
        <f t="shared" si="65"/>
        <v>743</v>
      </c>
      <c r="I402" s="17">
        <f t="shared" si="70"/>
        <v>3.0260822994265361E-2</v>
      </c>
      <c r="J402" s="17">
        <f t="shared" si="70"/>
        <v>3.2782889182766242E-2</v>
      </c>
      <c r="K402" s="17">
        <f t="shared" si="70"/>
        <v>5.4492860695852491E-2</v>
      </c>
      <c r="L402" s="17">
        <f t="shared" si="70"/>
        <v>7.2422851655715964E-2</v>
      </c>
      <c r="M402" s="17">
        <f t="shared" si="70"/>
        <v>4.1467878676884548E-2</v>
      </c>
    </row>
    <row r="403" spans="6:13" x14ac:dyDescent="0.2">
      <c r="F403">
        <v>1017</v>
      </c>
      <c r="G403">
        <f t="shared" si="64"/>
        <v>1.0169999999999999</v>
      </c>
      <c r="H403">
        <f t="shared" si="65"/>
        <v>744</v>
      </c>
      <c r="I403" s="17">
        <f t="shared" si="70"/>
        <v>3.026440901324174E-2</v>
      </c>
      <c r="J403" s="17">
        <f t="shared" si="70"/>
        <v>3.2788536843435488E-2</v>
      </c>
      <c r="K403" s="17">
        <f t="shared" si="70"/>
        <v>5.4504451829168986E-2</v>
      </c>
      <c r="L403" s="17">
        <f t="shared" si="70"/>
        <v>7.246176406374287E-2</v>
      </c>
      <c r="M403" s="17">
        <f t="shared" si="70"/>
        <v>4.148050941258765E-2</v>
      </c>
    </row>
    <row r="404" spans="6:13" x14ac:dyDescent="0.2">
      <c r="F404">
        <v>1018</v>
      </c>
      <c r="G404">
        <f t="shared" si="64"/>
        <v>1.018</v>
      </c>
      <c r="H404">
        <f t="shared" si="65"/>
        <v>745</v>
      </c>
      <c r="I404" s="17">
        <f t="shared" si="70"/>
        <v>3.0268000088456582E-2</v>
      </c>
      <c r="J404" s="17">
        <f t="shared" si="70"/>
        <v>3.2794178624652823E-2</v>
      </c>
      <c r="K404" s="17">
        <f t="shared" si="70"/>
        <v>5.4516023314430936E-2</v>
      </c>
      <c r="L404" s="17">
        <f t="shared" si="70"/>
        <v>7.2500631009281613E-2</v>
      </c>
      <c r="M404" s="17">
        <f t="shared" si="70"/>
        <v>4.1493138730463085E-2</v>
      </c>
    </row>
    <row r="405" spans="6:13" x14ac:dyDescent="0.2">
      <c r="F405">
        <v>1019</v>
      </c>
      <c r="G405">
        <f t="shared" si="64"/>
        <v>1.0189999999999999</v>
      </c>
      <c r="H405">
        <f t="shared" si="65"/>
        <v>746</v>
      </c>
      <c r="I405" s="17">
        <f t="shared" si="70"/>
        <v>3.0271596206761859E-2</v>
      </c>
      <c r="J405" s="17">
        <f t="shared" si="70"/>
        <v>3.2799814523026563E-2</v>
      </c>
      <c r="K405" s="17">
        <f t="shared" si="70"/>
        <v>5.4527575202335525E-2</v>
      </c>
      <c r="L405" s="17">
        <f t="shared" si="70"/>
        <v>7.2539452512576444E-2</v>
      </c>
      <c r="M405" s="17">
        <f t="shared" si="70"/>
        <v>4.1505766613496427E-2</v>
      </c>
    </row>
    <row r="406" spans="6:13" x14ac:dyDescent="0.2">
      <c r="F406">
        <v>1020</v>
      </c>
      <c r="G406">
        <f t="shared" si="64"/>
        <v>1.02</v>
      </c>
      <c r="H406">
        <f t="shared" si="65"/>
        <v>747</v>
      </c>
      <c r="I406" s="17">
        <f t="shared" si="70"/>
        <v>3.027519735499247E-2</v>
      </c>
      <c r="J406" s="17">
        <f t="shared" si="70"/>
        <v>3.2805444535221946E-2</v>
      </c>
      <c r="K406" s="17">
        <f t="shared" si="70"/>
        <v>5.453910754356521E-2</v>
      </c>
      <c r="L406" s="17">
        <f t="shared" si="70"/>
        <v>7.2578228593944763E-2</v>
      </c>
      <c r="M406" s="17">
        <f t="shared" si="70"/>
        <v>4.1518393044682113E-2</v>
      </c>
    </row>
    <row r="407" spans="6:13" x14ac:dyDescent="0.2">
      <c r="F407">
        <v>1021</v>
      </c>
      <c r="G407">
        <f t="shared" si="64"/>
        <v>1.0209999999999999</v>
      </c>
      <c r="H407">
        <f t="shared" si="65"/>
        <v>748</v>
      </c>
      <c r="I407" s="17">
        <f t="shared" si="70"/>
        <v>3.0278803519966289E-2</v>
      </c>
      <c r="J407" s="17">
        <f t="shared" si="70"/>
        <v>3.2811068657960699E-2</v>
      </c>
      <c r="K407" s="17">
        <f t="shared" si="70"/>
        <v>5.4550620388787746E-2</v>
      </c>
      <c r="L407" s="17">
        <f t="shared" si="70"/>
        <v>7.2616959273776677E-2</v>
      </c>
      <c r="M407" s="17">
        <f t="shared" si="70"/>
        <v>4.153101800702335E-2</v>
      </c>
    </row>
    <row r="408" spans="6:13" x14ac:dyDescent="0.2">
      <c r="F408">
        <v>1022</v>
      </c>
      <c r="G408">
        <f t="shared" si="64"/>
        <v>1.022</v>
      </c>
      <c r="H408">
        <f t="shared" si="65"/>
        <v>749</v>
      </c>
      <c r="I408" s="17">
        <f t="shared" si="70"/>
        <v>3.0282414688484319E-2</v>
      </c>
      <c r="J408" s="17">
        <f t="shared" si="70"/>
        <v>3.2816686888020828E-2</v>
      </c>
      <c r="K408" s="17">
        <f t="shared" si="70"/>
        <v>5.4562113788656434E-2</v>
      </c>
      <c r="L408" s="17">
        <f t="shared" si="70"/>
        <v>7.265564457253465E-2</v>
      </c>
      <c r="M408" s="17">
        <f t="shared" si="70"/>
        <v>4.1543641483532151E-2</v>
      </c>
    </row>
    <row r="409" spans="6:13" x14ac:dyDescent="0.2">
      <c r="F409">
        <v>1023</v>
      </c>
      <c r="G409">
        <f t="shared" si="64"/>
        <v>1.0229999999999999</v>
      </c>
      <c r="H409">
        <f t="shared" si="65"/>
        <v>750</v>
      </c>
      <c r="I409" s="17">
        <f t="shared" ref="I409:M418" si="71">(I$151+I$152*$G409+I$153*($G409^2)+I$154*($G409^3)+I$155/($G409^2))/1000</f>
        <v>3.0286030847330742E-2</v>
      </c>
      <c r="J409" s="17">
        <f t="shared" si="71"/>
        <v>3.2822299222236208E-2</v>
      </c>
      <c r="K409" s="17">
        <f t="shared" si="71"/>
        <v>5.4573587793809962E-2</v>
      </c>
      <c r="L409" s="17">
        <f t="shared" si="71"/>
        <v>7.2694284510753021E-2</v>
      </c>
      <c r="M409" s="17">
        <f t="shared" si="71"/>
        <v>4.1556263457229181E-2</v>
      </c>
    </row>
    <row r="410" spans="6:13" x14ac:dyDescent="0.2">
      <c r="F410">
        <v>1024</v>
      </c>
      <c r="G410">
        <f t="shared" si="64"/>
        <v>1.024</v>
      </c>
      <c r="H410">
        <f t="shared" si="65"/>
        <v>751</v>
      </c>
      <c r="I410" s="17">
        <f t="shared" si="71"/>
        <v>3.0289651983273082E-2</v>
      </c>
      <c r="J410" s="17">
        <f t="shared" si="71"/>
        <v>3.2827905657496277E-2</v>
      </c>
      <c r="K410" s="17">
        <f t="shared" si="71"/>
        <v>5.4585042454872779E-2</v>
      </c>
      <c r="L410" s="17">
        <f t="shared" si="71"/>
        <v>7.2732879109037529E-2</v>
      </c>
      <c r="M410" s="17">
        <f t="shared" si="71"/>
        <v>4.1568883911143766E-2</v>
      </c>
    </row>
    <row r="411" spans="6:13" x14ac:dyDescent="0.2">
      <c r="F411">
        <v>1025</v>
      </c>
      <c r="G411">
        <f t="shared" si="64"/>
        <v>1.0249999999999999</v>
      </c>
      <c r="H411">
        <f t="shared" si="65"/>
        <v>752</v>
      </c>
      <c r="I411" s="17">
        <f t="shared" si="71"/>
        <v>3.0293278083062227E-2</v>
      </c>
      <c r="J411" s="17">
        <f t="shared" si="71"/>
        <v>3.2833506190745688E-2</v>
      </c>
      <c r="K411" s="17">
        <f t="shared" si="71"/>
        <v>5.4596477822454886E-2</v>
      </c>
      <c r="L411" s="17">
        <f t="shared" si="71"/>
        <v>7.2771428388065038E-2</v>
      </c>
      <c r="M411" s="17">
        <f t="shared" si="71"/>
        <v>4.1581502828313882E-2</v>
      </c>
    </row>
    <row r="412" spans="6:13" x14ac:dyDescent="0.2">
      <c r="F412">
        <v>1026</v>
      </c>
      <c r="G412">
        <f t="shared" si="64"/>
        <v>1.026</v>
      </c>
      <c r="H412">
        <f t="shared" si="65"/>
        <v>753</v>
      </c>
      <c r="I412" s="17">
        <f t="shared" si="71"/>
        <v>3.029690913343256E-2</v>
      </c>
      <c r="J412" s="17">
        <f t="shared" si="71"/>
        <v>3.2839100818984043E-2</v>
      </c>
      <c r="K412" s="17">
        <f t="shared" si="71"/>
        <v>5.4607893947152188E-2</v>
      </c>
      <c r="L412" s="17">
        <f t="shared" si="71"/>
        <v>7.2809932368583005E-2</v>
      </c>
      <c r="M412" s="17">
        <f t="shared" si="71"/>
        <v>4.1594120191785967E-2</v>
      </c>
    </row>
    <row r="413" spans="6:13" x14ac:dyDescent="0.2">
      <c r="F413">
        <v>1027</v>
      </c>
      <c r="G413">
        <f t="shared" si="64"/>
        <v>1.0269999999999999</v>
      </c>
      <c r="H413">
        <f t="shared" si="65"/>
        <v>754</v>
      </c>
      <c r="I413" s="17">
        <f t="shared" si="71"/>
        <v>3.0300545121102081E-2</v>
      </c>
      <c r="J413" s="17">
        <f t="shared" si="71"/>
        <v>3.2844689539265545E-2</v>
      </c>
      <c r="K413" s="17">
        <f t="shared" si="71"/>
        <v>5.4619290879546332E-2</v>
      </c>
      <c r="L413" s="17">
        <f t="shared" si="71"/>
        <v>7.2848391071409072E-2</v>
      </c>
      <c r="M413" s="17">
        <f t="shared" si="71"/>
        <v>4.1606735984615027E-2</v>
      </c>
    </row>
    <row r="414" spans="6:13" x14ac:dyDescent="0.2">
      <c r="F414">
        <v>1028</v>
      </c>
      <c r="G414">
        <f t="shared" si="64"/>
        <v>1.028</v>
      </c>
      <c r="H414">
        <f t="shared" si="65"/>
        <v>755</v>
      </c>
      <c r="I414" s="17">
        <f t="shared" si="71"/>
        <v>3.0304186032772476E-2</v>
      </c>
      <c r="J414" s="17">
        <f t="shared" si="71"/>
        <v>3.2850272348698625E-2</v>
      </c>
      <c r="K414" s="17">
        <f t="shared" si="71"/>
        <v>5.4630668670205031E-2</v>
      </c>
      <c r="L414" s="17">
        <f t="shared" si="71"/>
        <v>7.2886804517430737E-2</v>
      </c>
      <c r="M414" s="17">
        <f t="shared" si="71"/>
        <v>4.1619350189864492E-2</v>
      </c>
    </row>
    <row r="415" spans="6:13" x14ac:dyDescent="0.2">
      <c r="F415">
        <v>1029</v>
      </c>
      <c r="G415">
        <f t="shared" ref="G415:G478" si="72">F415/1000</f>
        <v>1.0289999999999999</v>
      </c>
      <c r="H415">
        <f t="shared" si="65"/>
        <v>756</v>
      </c>
      <c r="I415" s="17">
        <f t="shared" si="71"/>
        <v>3.030783185512919E-2</v>
      </c>
      <c r="J415" s="17">
        <f t="shared" si="71"/>
        <v>3.2855849244445713E-2</v>
      </c>
      <c r="K415" s="17">
        <f t="shared" si="71"/>
        <v>5.4642027369681906E-2</v>
      </c>
      <c r="L415" s="17">
        <f t="shared" si="71"/>
        <v>7.2925172727604862E-2</v>
      </c>
      <c r="M415" s="17">
        <f t="shared" si="71"/>
        <v>4.1631962790606193E-2</v>
      </c>
    </row>
    <row r="416" spans="6:13" x14ac:dyDescent="0.2">
      <c r="F416">
        <v>1030</v>
      </c>
      <c r="G416">
        <f t="shared" si="72"/>
        <v>1.03</v>
      </c>
      <c r="H416">
        <f t="shared" si="65"/>
        <v>757</v>
      </c>
      <c r="I416" s="17">
        <f t="shared" si="71"/>
        <v>3.0311482574841574E-2</v>
      </c>
      <c r="J416" s="17">
        <f t="shared" si="71"/>
        <v>3.2861420223722876E-2</v>
      </c>
      <c r="K416" s="17">
        <f t="shared" si="71"/>
        <v>5.4653367028516787E-2</v>
      </c>
      <c r="L416" s="17">
        <f t="shared" si="71"/>
        <v>7.2963495722957364E-2</v>
      </c>
      <c r="M416" s="17">
        <f t="shared" si="71"/>
        <v>4.1644573769920333E-2</v>
      </c>
    </row>
    <row r="417" spans="6:13" x14ac:dyDescent="0.2">
      <c r="F417">
        <v>1031</v>
      </c>
      <c r="G417">
        <f t="shared" si="72"/>
        <v>1.0309999999999999</v>
      </c>
      <c r="H417">
        <f t="shared" ref="H417:H480" si="73">F417-273</f>
        <v>758</v>
      </c>
      <c r="I417" s="17">
        <f t="shared" si="71"/>
        <v>3.0315138178562927E-2</v>
      </c>
      <c r="J417" s="17">
        <f t="shared" si="71"/>
        <v>3.2866985283799499E-2</v>
      </c>
      <c r="K417" s="17">
        <f t="shared" si="71"/>
        <v>5.4664687697235606E-2</v>
      </c>
      <c r="L417" s="17">
        <f t="shared" si="71"/>
        <v>7.3001773524582633E-2</v>
      </c>
      <c r="M417" s="17">
        <f t="shared" si="71"/>
        <v>4.1657183110895384E-2</v>
      </c>
    </row>
    <row r="418" spans="6:13" x14ac:dyDescent="0.2">
      <c r="F418">
        <v>1032</v>
      </c>
      <c r="G418">
        <f t="shared" si="72"/>
        <v>1.032</v>
      </c>
      <c r="H418">
        <f t="shared" si="73"/>
        <v>759</v>
      </c>
      <c r="I418" s="17">
        <f t="shared" si="71"/>
        <v>3.0318798652930631E-2</v>
      </c>
      <c r="J418" s="17">
        <f t="shared" si="71"/>
        <v>3.287254442199803E-2</v>
      </c>
      <c r="K418" s="17">
        <f t="shared" si="71"/>
        <v>5.4675989426350644E-2</v>
      </c>
      <c r="L418" s="17">
        <f t="shared" si="71"/>
        <v>7.3040006153643394E-2</v>
      </c>
      <c r="M418" s="17">
        <f t="shared" si="71"/>
        <v>4.1669790796628088E-2</v>
      </c>
    </row>
    <row r="419" spans="6:13" x14ac:dyDescent="0.2">
      <c r="F419">
        <v>1033</v>
      </c>
      <c r="G419">
        <f t="shared" si="72"/>
        <v>1.0329999999999999</v>
      </c>
      <c r="H419">
        <f t="shared" si="73"/>
        <v>760</v>
      </c>
      <c r="I419" s="17">
        <f t="shared" ref="I419:M428" si="74">(I$151+I$152*$G419+I$153*($G419^2)+I$154*($G419^3)+I$155/($G419^2))/1000</f>
        <v>3.0322463984566228E-2</v>
      </c>
      <c r="J419" s="17">
        <f t="shared" si="74"/>
        <v>3.2878097635693562E-2</v>
      </c>
      <c r="K419" s="17">
        <f t="shared" si="74"/>
        <v>5.4687272266360436E-2</v>
      </c>
      <c r="L419" s="17">
        <f t="shared" si="74"/>
        <v>7.3078193631370053E-2</v>
      </c>
      <c r="M419" s="17">
        <f t="shared" si="74"/>
        <v>4.1682396810223399E-2</v>
      </c>
    </row>
    <row r="420" spans="6:13" x14ac:dyDescent="0.2">
      <c r="F420">
        <v>1034</v>
      </c>
      <c r="G420">
        <f t="shared" si="72"/>
        <v>1.034</v>
      </c>
      <c r="H420">
        <f t="shared" si="73"/>
        <v>761</v>
      </c>
      <c r="I420" s="17">
        <f t="shared" si="74"/>
        <v>3.0326134160075499E-2</v>
      </c>
      <c r="J420" s="17">
        <f t="shared" si="74"/>
        <v>3.288364492231368E-2</v>
      </c>
      <c r="K420" s="17">
        <f t="shared" si="74"/>
        <v>5.469853626775005E-2</v>
      </c>
      <c r="L420" s="17">
        <f t="shared" si="74"/>
        <v>7.3116335979060504E-2</v>
      </c>
      <c r="M420" s="17">
        <f t="shared" si="74"/>
        <v>4.1695001134794421E-2</v>
      </c>
    </row>
    <row r="421" spans="6:13" x14ac:dyDescent="0.2">
      <c r="F421">
        <v>1035</v>
      </c>
      <c r="G421">
        <f t="shared" si="72"/>
        <v>1.0349999999999999</v>
      </c>
      <c r="H421">
        <f t="shared" si="73"/>
        <v>762</v>
      </c>
      <c r="I421" s="17">
        <f t="shared" si="74"/>
        <v>3.032980916604856E-2</v>
      </c>
      <c r="J421" s="17">
        <f t="shared" si="74"/>
        <v>3.2889186279338019E-2</v>
      </c>
      <c r="K421" s="17">
        <f t="shared" si="74"/>
        <v>5.4709781480990954E-2</v>
      </c>
      <c r="L421" s="17">
        <f t="shared" si="74"/>
        <v>7.3154433218079615E-2</v>
      </c>
      <c r="M421" s="17">
        <f t="shared" si="74"/>
        <v>4.1707603753462393E-2</v>
      </c>
    </row>
    <row r="422" spans="6:13" x14ac:dyDescent="0.2">
      <c r="F422">
        <v>1036</v>
      </c>
      <c r="G422">
        <f t="shared" si="72"/>
        <v>1.036</v>
      </c>
      <c r="H422">
        <f t="shared" si="73"/>
        <v>763</v>
      </c>
      <c r="I422" s="17">
        <f t="shared" si="74"/>
        <v>3.0333488989059961E-2</v>
      </c>
      <c r="J422" s="17">
        <f t="shared" si="74"/>
        <v>3.2894721704298024E-2</v>
      </c>
      <c r="K422" s="17">
        <f t="shared" si="74"/>
        <v>5.4721007956541313E-2</v>
      </c>
      <c r="L422" s="17">
        <f t="shared" si="74"/>
        <v>7.3192485369858923E-2</v>
      </c>
      <c r="M422" s="17">
        <f t="shared" si="74"/>
        <v>4.1720204649356586E-2</v>
      </c>
    </row>
    <row r="423" spans="6:13" x14ac:dyDescent="0.2">
      <c r="F423">
        <v>1037</v>
      </c>
      <c r="G423">
        <f t="shared" si="72"/>
        <v>1.0369999999999999</v>
      </c>
      <c r="H423">
        <f t="shared" si="73"/>
        <v>764</v>
      </c>
      <c r="I423" s="17">
        <f t="shared" si="74"/>
        <v>3.0337173615668799E-2</v>
      </c>
      <c r="J423" s="17">
        <f t="shared" si="74"/>
        <v>3.2900251194776672E-2</v>
      </c>
      <c r="K423" s="17">
        <f t="shared" si="74"/>
        <v>5.4732215744845825E-2</v>
      </c>
      <c r="L423" s="17">
        <f t="shared" si="74"/>
        <v>7.3230492455896148E-2</v>
      </c>
      <c r="M423" s="17">
        <f t="shared" si="74"/>
        <v>4.173280380561431E-2</v>
      </c>
    </row>
    <row r="424" spans="6:13" x14ac:dyDescent="0.2">
      <c r="F424">
        <v>1038</v>
      </c>
      <c r="G424">
        <f t="shared" si="72"/>
        <v>1.038</v>
      </c>
      <c r="H424">
        <f t="shared" si="73"/>
        <v>765</v>
      </c>
      <c r="I424" s="17">
        <f t="shared" si="74"/>
        <v>3.0340863032418758E-2</v>
      </c>
      <c r="J424" s="17">
        <f t="shared" si="74"/>
        <v>3.2905774748408119E-2</v>
      </c>
      <c r="K424" s="17">
        <f t="shared" si="74"/>
        <v>5.4743404896336022E-2</v>
      </c>
      <c r="L424" s="17">
        <f t="shared" si="74"/>
        <v>7.3268454497754876E-2</v>
      </c>
      <c r="M424" s="17">
        <f t="shared" si="74"/>
        <v>4.174540120538086E-2</v>
      </c>
    </row>
    <row r="425" spans="6:13" x14ac:dyDescent="0.2">
      <c r="F425">
        <v>1039</v>
      </c>
      <c r="G425">
        <f t="shared" si="72"/>
        <v>1.0389999999999999</v>
      </c>
      <c r="H425">
        <f t="shared" si="73"/>
        <v>766</v>
      </c>
      <c r="I425" s="17">
        <f t="shared" si="74"/>
        <v>3.0344557225838203E-2</v>
      </c>
      <c r="J425" s="17">
        <f t="shared" si="74"/>
        <v>3.2911292362877459E-2</v>
      </c>
      <c r="K425" s="17">
        <f t="shared" si="74"/>
        <v>5.4754575461430248E-2</v>
      </c>
      <c r="L425" s="17">
        <f t="shared" si="74"/>
        <v>7.3306371517064234E-2</v>
      </c>
      <c r="M425" s="17">
        <f t="shared" si="74"/>
        <v>4.1757996831809405E-2</v>
      </c>
    </row>
    <row r="426" spans="6:13" x14ac:dyDescent="0.2">
      <c r="F426">
        <v>1040</v>
      </c>
      <c r="G426">
        <f t="shared" si="72"/>
        <v>1.04</v>
      </c>
      <c r="H426">
        <f t="shared" si="73"/>
        <v>767</v>
      </c>
      <c r="I426" s="17">
        <f t="shared" si="74"/>
        <v>3.0348256182440331E-2</v>
      </c>
      <c r="J426" s="17">
        <f t="shared" si="74"/>
        <v>3.2916804035920379E-2</v>
      </c>
      <c r="K426" s="17">
        <f t="shared" si="74"/>
        <v>5.4765727490533676E-2</v>
      </c>
      <c r="L426" s="17">
        <f t="shared" si="74"/>
        <v>7.3344243535518383E-2</v>
      </c>
      <c r="M426" s="17">
        <f t="shared" si="74"/>
        <v>4.1770590668061061E-2</v>
      </c>
    </row>
    <row r="427" spans="6:13" x14ac:dyDescent="0.2">
      <c r="F427">
        <v>1041</v>
      </c>
      <c r="G427">
        <f t="shared" si="72"/>
        <v>1.0409999999999999</v>
      </c>
      <c r="H427">
        <f t="shared" si="73"/>
        <v>768</v>
      </c>
      <c r="I427" s="17">
        <f t="shared" si="74"/>
        <v>3.035195988872319E-2</v>
      </c>
      <c r="J427" s="17">
        <f t="shared" si="74"/>
        <v>3.2922309765322899E-2</v>
      </c>
      <c r="K427" s="17">
        <f t="shared" si="74"/>
        <v>5.4776861034038511E-2</v>
      </c>
      <c r="L427" s="17">
        <f t="shared" si="74"/>
        <v>7.3382070574876279E-2</v>
      </c>
      <c r="M427" s="17">
        <f t="shared" si="74"/>
        <v>4.1783182697304737E-2</v>
      </c>
    </row>
    <row r="428" spans="6:13" x14ac:dyDescent="0.2">
      <c r="F428">
        <v>1042</v>
      </c>
      <c r="G428">
        <f t="shared" si="72"/>
        <v>1.042</v>
      </c>
      <c r="H428">
        <f t="shared" si="73"/>
        <v>769</v>
      </c>
      <c r="I428" s="17">
        <f t="shared" si="74"/>
        <v>3.0355668331169802E-2</v>
      </c>
      <c r="J428" s="17">
        <f t="shared" si="74"/>
        <v>3.2927809548921091E-2</v>
      </c>
      <c r="K428" s="17">
        <f t="shared" si="74"/>
        <v>5.4787976142323919E-2</v>
      </c>
      <c r="L428" s="17">
        <f t="shared" si="74"/>
        <v>7.3419852656961118E-2</v>
      </c>
      <c r="M428" s="17">
        <f t="shared" si="74"/>
        <v>4.1795772902717132E-2</v>
      </c>
    </row>
    <row r="429" spans="6:13" x14ac:dyDescent="0.2">
      <c r="F429">
        <v>1043</v>
      </c>
      <c r="G429">
        <f t="shared" si="72"/>
        <v>1.0429999999999999</v>
      </c>
      <c r="H429">
        <f t="shared" si="73"/>
        <v>770</v>
      </c>
      <c r="I429" s="17">
        <f t="shared" ref="I429:M438" si="75">(I$151+I$152*$G429+I$153*($G429^2)+I$154*($G429^3)+I$155/($G429^2))/1000</f>
        <v>3.0359381496248207E-2</v>
      </c>
      <c r="J429" s="17">
        <f t="shared" si="75"/>
        <v>3.2933303384600751E-2</v>
      </c>
      <c r="K429" s="17">
        <f t="shared" si="75"/>
        <v>5.4799072865756297E-2</v>
      </c>
      <c r="L429" s="17">
        <f t="shared" si="75"/>
        <v>7.3457589803660239E-2</v>
      </c>
      <c r="M429" s="17">
        <f t="shared" si="75"/>
        <v>4.1808361267482712E-2</v>
      </c>
    </row>
    <row r="430" spans="6:13" x14ac:dyDescent="0.2">
      <c r="F430">
        <v>1044</v>
      </c>
      <c r="G430">
        <f t="shared" si="72"/>
        <v>1.044</v>
      </c>
      <c r="H430">
        <f t="shared" si="73"/>
        <v>771</v>
      </c>
      <c r="I430" s="17">
        <f t="shared" si="75"/>
        <v>3.0363099370411619E-2</v>
      </c>
      <c r="J430" s="17">
        <f t="shared" si="75"/>
        <v>3.2938791270297176E-2</v>
      </c>
      <c r="K430" s="17">
        <f t="shared" si="75"/>
        <v>5.4810151254689125E-2</v>
      </c>
      <c r="L430" s="17">
        <f t="shared" si="75"/>
        <v>7.3495282036924445E-2</v>
      </c>
      <c r="M430" s="17">
        <f t="shared" si="75"/>
        <v>4.1820947774793629E-2</v>
      </c>
    </row>
    <row r="431" spans="6:13" x14ac:dyDescent="0.2">
      <c r="F431">
        <v>1045</v>
      </c>
      <c r="G431">
        <f t="shared" si="72"/>
        <v>1.0449999999999999</v>
      </c>
      <c r="H431">
        <f t="shared" si="73"/>
        <v>772</v>
      </c>
      <c r="I431" s="17">
        <f t="shared" si="75"/>
        <v>3.0366821940098453E-2</v>
      </c>
      <c r="J431" s="17">
        <f t="shared" si="75"/>
        <v>3.2944273203994789E-2</v>
      </c>
      <c r="K431" s="17">
        <f t="shared" si="75"/>
        <v>5.4821211359463204E-2</v>
      </c>
      <c r="L431" s="17">
        <f t="shared" si="75"/>
        <v>7.3532929378767889E-2</v>
      </c>
      <c r="M431" s="17">
        <f t="shared" si="75"/>
        <v>4.1833532407849684E-2</v>
      </c>
    </row>
    <row r="432" spans="6:13" x14ac:dyDescent="0.2">
      <c r="F432">
        <v>1046</v>
      </c>
      <c r="G432">
        <f t="shared" si="72"/>
        <v>1.046</v>
      </c>
      <c r="H432">
        <f t="shared" si="73"/>
        <v>773</v>
      </c>
      <c r="I432" s="17">
        <f t="shared" si="75"/>
        <v>3.0370549191732432E-2</v>
      </c>
      <c r="J432" s="17">
        <f t="shared" si="75"/>
        <v>3.2949749183726958E-2</v>
      </c>
      <c r="K432" s="17">
        <f t="shared" si="75"/>
        <v>5.483225323040665E-2</v>
      </c>
      <c r="L432" s="17">
        <f t="shared" si="75"/>
        <v>7.3570531851267593E-2</v>
      </c>
      <c r="M432" s="17">
        <f t="shared" si="75"/>
        <v>4.1846115149858323E-2</v>
      </c>
    </row>
    <row r="433" spans="6:13" x14ac:dyDescent="0.2">
      <c r="F433">
        <v>1047</v>
      </c>
      <c r="G433">
        <f t="shared" si="72"/>
        <v>1.0469999999999999</v>
      </c>
      <c r="H433">
        <f t="shared" si="73"/>
        <v>774</v>
      </c>
      <c r="I433" s="17">
        <f t="shared" si="75"/>
        <v>3.0374281111722676E-2</v>
      </c>
      <c r="J433" s="17">
        <f t="shared" si="75"/>
        <v>3.2955219207575652E-2</v>
      </c>
      <c r="K433" s="17">
        <f t="shared" si="75"/>
        <v>5.4843276917835006E-2</v>
      </c>
      <c r="L433" s="17">
        <f t="shared" si="75"/>
        <v>7.3608089476563041E-2</v>
      </c>
      <c r="M433" s="17">
        <f t="shared" si="75"/>
        <v>4.1858695984034515E-2</v>
      </c>
    </row>
    <row r="434" spans="6:13" x14ac:dyDescent="0.2">
      <c r="F434">
        <v>1048</v>
      </c>
      <c r="G434">
        <f t="shared" si="72"/>
        <v>1.048</v>
      </c>
      <c r="H434">
        <f t="shared" si="73"/>
        <v>775</v>
      </c>
      <c r="I434" s="17">
        <f t="shared" si="75"/>
        <v>3.0378017686463758E-2</v>
      </c>
      <c r="J434" s="17">
        <f t="shared" si="75"/>
        <v>3.2960683273671167E-2</v>
      </c>
      <c r="K434" s="17">
        <f t="shared" si="75"/>
        <v>5.485428247205127E-2</v>
      </c>
      <c r="L434" s="17">
        <f t="shared" si="75"/>
        <v>7.3645602276855987E-2</v>
      </c>
      <c r="M434" s="17">
        <f t="shared" si="75"/>
        <v>4.1871274893600804E-2</v>
      </c>
    </row>
    <row r="435" spans="6:13" x14ac:dyDescent="0.2">
      <c r="F435">
        <v>1049</v>
      </c>
      <c r="G435">
        <f t="shared" si="72"/>
        <v>1.0489999999999999</v>
      </c>
      <c r="H435">
        <f t="shared" si="73"/>
        <v>776</v>
      </c>
      <c r="I435" s="17">
        <f t="shared" si="75"/>
        <v>3.0381758902335822E-2</v>
      </c>
      <c r="J435" s="17">
        <f t="shared" si="75"/>
        <v>3.2966141380191882E-2</v>
      </c>
      <c r="K435" s="17">
        <f t="shared" si="75"/>
        <v>5.4865269943346021E-2</v>
      </c>
      <c r="L435" s="17">
        <f t="shared" si="75"/>
        <v>7.3683070274409929E-2</v>
      </c>
      <c r="M435" s="17">
        <f t="shared" si="75"/>
        <v>4.1883851861787176E-2</v>
      </c>
    </row>
    <row r="436" spans="6:13" x14ac:dyDescent="0.2">
      <c r="F436">
        <v>1050</v>
      </c>
      <c r="G436">
        <f t="shared" si="72"/>
        <v>1.05</v>
      </c>
      <c r="H436">
        <f t="shared" si="73"/>
        <v>777</v>
      </c>
      <c r="I436" s="17">
        <f t="shared" si="75"/>
        <v>3.0385504745704648E-2</v>
      </c>
      <c r="J436" s="17">
        <f t="shared" si="75"/>
        <v>3.2971593525363933E-2</v>
      </c>
      <c r="K436" s="17">
        <f t="shared" si="75"/>
        <v>5.4876239381997448E-2</v>
      </c>
      <c r="L436" s="17">
        <f t="shared" si="75"/>
        <v>7.3720493491549896E-2</v>
      </c>
      <c r="M436" s="17">
        <f t="shared" si="75"/>
        <v>4.1896426871831059E-2</v>
      </c>
    </row>
    <row r="437" spans="6:13" x14ac:dyDescent="0.2">
      <c r="F437">
        <v>1051</v>
      </c>
      <c r="G437">
        <f t="shared" si="72"/>
        <v>1.0509999999999999</v>
      </c>
      <c r="H437">
        <f t="shared" si="73"/>
        <v>778</v>
      </c>
      <c r="I437" s="17">
        <f t="shared" si="75"/>
        <v>3.0389255202921746E-2</v>
      </c>
      <c r="J437" s="17">
        <f t="shared" si="75"/>
        <v>3.2977039707461041E-2</v>
      </c>
      <c r="K437" s="17">
        <f t="shared" si="75"/>
        <v>5.4887190838271427E-2</v>
      </c>
      <c r="L437" s="17">
        <f t="shared" si="75"/>
        <v>7.3757871950661941E-2</v>
      </c>
      <c r="M437" s="17">
        <f t="shared" si="75"/>
        <v>4.1908999906977322E-2</v>
      </c>
    </row>
    <row r="438" spans="6:13" x14ac:dyDescent="0.2">
      <c r="F438">
        <v>1052</v>
      </c>
      <c r="G438">
        <f t="shared" si="72"/>
        <v>1.052</v>
      </c>
      <c r="H438">
        <f t="shared" si="73"/>
        <v>779</v>
      </c>
      <c r="I438" s="17">
        <f t="shared" si="75"/>
        <v>3.0393010260324402E-2</v>
      </c>
      <c r="J438" s="17">
        <f t="shared" si="75"/>
        <v>3.2982479924804083E-2</v>
      </c>
      <c r="K438" s="17">
        <f t="shared" si="75"/>
        <v>5.4898124362421613E-2</v>
      </c>
      <c r="L438" s="17">
        <f t="shared" si="75"/>
        <v>7.3795205674192912E-2</v>
      </c>
      <c r="M438" s="17">
        <f t="shared" si="75"/>
        <v>4.1921570950478139E-2</v>
      </c>
    </row>
    <row r="439" spans="6:13" x14ac:dyDescent="0.2">
      <c r="F439">
        <v>1053</v>
      </c>
      <c r="G439">
        <f t="shared" si="72"/>
        <v>1.0529999999999999</v>
      </c>
      <c r="H439">
        <f t="shared" si="73"/>
        <v>780</v>
      </c>
      <c r="I439" s="17">
        <f t="shared" ref="I439:M448" si="76">(I$151+I$152*$G439+I$153*($G439^2)+I$154*($G439^3)+I$155/($G439^2))/1000</f>
        <v>3.0396769904235798E-2</v>
      </c>
      <c r="J439" s="17">
        <f t="shared" si="76"/>
        <v>3.2987914175760948E-2</v>
      </c>
      <c r="K439" s="17">
        <f t="shared" si="76"/>
        <v>5.4909040004689484E-2</v>
      </c>
      <c r="L439" s="17">
        <f t="shared" si="76"/>
        <v>7.3832494684650155E-2</v>
      </c>
      <c r="M439" s="17">
        <f t="shared" si="76"/>
        <v>4.1934139985593019E-2</v>
      </c>
    </row>
    <row r="440" spans="6:13" x14ac:dyDescent="0.2">
      <c r="F440">
        <v>1054</v>
      </c>
      <c r="G440">
        <f t="shared" si="72"/>
        <v>1.054</v>
      </c>
      <c r="H440">
        <f t="shared" si="73"/>
        <v>781</v>
      </c>
      <c r="I440" s="17">
        <f t="shared" si="76"/>
        <v>3.0400534120965099E-2</v>
      </c>
      <c r="J440" s="17">
        <f t="shared" si="76"/>
        <v>3.2993342458746286E-2</v>
      </c>
      <c r="K440" s="17">
        <f t="shared" si="76"/>
        <v>5.491993781530443E-2</v>
      </c>
      <c r="L440" s="17">
        <f t="shared" si="76"/>
        <v>7.386973900460099E-2</v>
      </c>
      <c r="M440" s="17">
        <f t="shared" si="76"/>
        <v>4.1946706995588751E-2</v>
      </c>
    </row>
    <row r="441" spans="6:13" x14ac:dyDescent="0.2">
      <c r="F441">
        <v>1055</v>
      </c>
      <c r="G441">
        <f t="shared" si="72"/>
        <v>1.0549999999999999</v>
      </c>
      <c r="H441">
        <f t="shared" si="73"/>
        <v>782</v>
      </c>
      <c r="I441" s="17">
        <f t="shared" si="76"/>
        <v>3.0404302896807484E-2</v>
      </c>
      <c r="J441" s="17">
        <f t="shared" si="76"/>
        <v>3.2998764772221086E-2</v>
      </c>
      <c r="K441" s="17">
        <f t="shared" si="76"/>
        <v>5.4930817844483809E-2</v>
      </c>
      <c r="L441" s="17">
        <f t="shared" si="76"/>
        <v>7.390693865667243E-2</v>
      </c>
      <c r="M441" s="17">
        <f t="shared" si="76"/>
        <v>4.1959271963739324E-2</v>
      </c>
    </row>
    <row r="442" spans="6:13" x14ac:dyDescent="0.2">
      <c r="F442">
        <v>1056</v>
      </c>
      <c r="G442">
        <f t="shared" si="72"/>
        <v>1.056</v>
      </c>
      <c r="H442">
        <f t="shared" si="73"/>
        <v>783</v>
      </c>
      <c r="I442" s="17">
        <f t="shared" si="76"/>
        <v>3.0408076218044262E-2</v>
      </c>
      <c r="J442" s="17">
        <f t="shared" si="76"/>
        <v>3.3004181114692617E-2</v>
      </c>
      <c r="K442" s="17">
        <f t="shared" si="76"/>
        <v>5.4941680142433016E-2</v>
      </c>
      <c r="L442" s="17">
        <f t="shared" si="76"/>
        <v>7.394409366355105E-2</v>
      </c>
      <c r="M442" s="17">
        <f t="shared" si="76"/>
        <v>4.197183487332596E-2</v>
      </c>
    </row>
    <row r="443" spans="6:13" x14ac:dyDescent="0.2">
      <c r="F443">
        <v>1057</v>
      </c>
      <c r="G443">
        <f t="shared" si="72"/>
        <v>1.0569999999999999</v>
      </c>
      <c r="H443">
        <f t="shared" si="73"/>
        <v>784</v>
      </c>
      <c r="I443" s="17">
        <f t="shared" si="76"/>
        <v>3.0411854070942948E-2</v>
      </c>
      <c r="J443" s="17">
        <f t="shared" si="76"/>
        <v>3.3009591484713982E-2</v>
      </c>
      <c r="K443" s="17">
        <f t="shared" si="76"/>
        <v>5.4952524759345554E-2</v>
      </c>
      <c r="L443" s="17">
        <f t="shared" si="76"/>
        <v>7.3981204047982307E-2</v>
      </c>
      <c r="M443" s="17">
        <f t="shared" si="76"/>
        <v>4.1984395707636978E-2</v>
      </c>
    </row>
    <row r="444" spans="6:13" x14ac:dyDescent="0.2">
      <c r="F444">
        <v>1058</v>
      </c>
      <c r="G444">
        <f t="shared" si="72"/>
        <v>1.0580000000000001</v>
      </c>
      <c r="H444">
        <f t="shared" si="73"/>
        <v>785</v>
      </c>
      <c r="I444" s="17">
        <f t="shared" si="76"/>
        <v>3.0415636441757328E-2</v>
      </c>
      <c r="J444" s="17">
        <f t="shared" si="76"/>
        <v>3.301499588088401E-2</v>
      </c>
      <c r="K444" s="17">
        <f t="shared" si="76"/>
        <v>5.4963351745403129E-2</v>
      </c>
      <c r="L444" s="17">
        <f t="shared" si="76"/>
        <v>7.4018269832770503E-2</v>
      </c>
      <c r="M444" s="17">
        <f t="shared" si="76"/>
        <v>4.1996954449967872E-2</v>
      </c>
    </row>
    <row r="445" spans="6:13" x14ac:dyDescent="0.2">
      <c r="F445">
        <v>1059</v>
      </c>
      <c r="G445">
        <f t="shared" si="72"/>
        <v>1.0589999999999999</v>
      </c>
      <c r="H445">
        <f t="shared" si="73"/>
        <v>786</v>
      </c>
      <c r="I445" s="17">
        <f t="shared" si="76"/>
        <v>3.0419423316727565E-2</v>
      </c>
      <c r="J445" s="17">
        <f t="shared" si="76"/>
        <v>3.3020394301846882E-2</v>
      </c>
      <c r="K445" s="17">
        <f t="shared" si="76"/>
        <v>5.4974161150775636E-2</v>
      </c>
      <c r="L445" s="17">
        <f t="shared" si="76"/>
        <v>7.4055291040778265E-2</v>
      </c>
      <c r="M445" s="17">
        <f t="shared" si="76"/>
        <v>4.2009511083621144E-2</v>
      </c>
    </row>
    <row r="446" spans="6:13" x14ac:dyDescent="0.2">
      <c r="F446">
        <v>1060</v>
      </c>
      <c r="G446">
        <f t="shared" si="72"/>
        <v>1.06</v>
      </c>
      <c r="H446">
        <f t="shared" si="73"/>
        <v>787</v>
      </c>
      <c r="I446" s="17">
        <f t="shared" si="76"/>
        <v>3.0423214682080223E-2</v>
      </c>
      <c r="J446" s="17">
        <f t="shared" si="76"/>
        <v>3.3025786746291939E-2</v>
      </c>
      <c r="K446" s="17">
        <f t="shared" si="76"/>
        <v>5.4984953025621328E-2</v>
      </c>
      <c r="L446" s="17">
        <f t="shared" si="76"/>
        <v>7.4092267694926259E-2</v>
      </c>
      <c r="M446" s="17">
        <f t="shared" si="76"/>
        <v>4.2022065591906327E-2</v>
      </c>
    </row>
    <row r="447" spans="6:13" x14ac:dyDescent="0.2">
      <c r="F447">
        <v>1061</v>
      </c>
      <c r="G447">
        <f t="shared" si="72"/>
        <v>1.0609999999999999</v>
      </c>
      <c r="H447">
        <f t="shared" si="73"/>
        <v>788</v>
      </c>
      <c r="I447" s="17">
        <f t="shared" si="76"/>
        <v>3.0427010524028405E-2</v>
      </c>
      <c r="J447" s="17">
        <f t="shared" si="76"/>
        <v>3.303117321295343E-2</v>
      </c>
      <c r="K447" s="17">
        <f t="shared" si="76"/>
        <v>5.4995727420086821E-2</v>
      </c>
      <c r="L447" s="17">
        <f t="shared" si="76"/>
        <v>7.4129199818192951E-2</v>
      </c>
      <c r="M447" s="17">
        <f t="shared" si="76"/>
        <v>4.2034617958139987E-2</v>
      </c>
    </row>
    <row r="448" spans="6:13" x14ac:dyDescent="0.2">
      <c r="F448">
        <v>1062</v>
      </c>
      <c r="G448">
        <f t="shared" si="72"/>
        <v>1.0620000000000001</v>
      </c>
      <c r="H448">
        <f t="shared" si="73"/>
        <v>789</v>
      </c>
      <c r="I448" s="17">
        <f t="shared" si="76"/>
        <v>3.0430810828771779E-2</v>
      </c>
      <c r="J448" s="17">
        <f t="shared" si="76"/>
        <v>3.303655370061017E-2</v>
      </c>
      <c r="K448" s="17">
        <f t="shared" si="76"/>
        <v>5.5006484384307157E-2</v>
      </c>
      <c r="L448" s="17">
        <f t="shared" si="76"/>
        <v>7.4166087433614164E-2</v>
      </c>
      <c r="M448" s="17">
        <f t="shared" si="76"/>
        <v>4.2047168165645604E-2</v>
      </c>
    </row>
    <row r="449" spans="6:13" x14ac:dyDescent="0.2">
      <c r="F449">
        <v>1063</v>
      </c>
      <c r="G449">
        <f t="shared" si="72"/>
        <v>1.0629999999999999</v>
      </c>
      <c r="H449">
        <f t="shared" si="73"/>
        <v>790</v>
      </c>
      <c r="I449" s="17">
        <f t="shared" ref="I449:M458" si="77">(I$151+I$152*$G449+I$153*($G449^2)+I$154*($G449^3)+I$155/($G449^2))/1000</f>
        <v>3.0434615582496702E-2</v>
      </c>
      <c r="J449" s="17">
        <f t="shared" si="77"/>
        <v>3.3041928208085436E-2</v>
      </c>
      <c r="K449" s="17">
        <f t="shared" si="77"/>
        <v>5.5017223968405901E-2</v>
      </c>
      <c r="L449" s="17">
        <f t="shared" si="77"/>
        <v>7.4202930564282801E-2</v>
      </c>
      <c r="M449" s="17">
        <f t="shared" si="77"/>
        <v>4.2059716197753561E-2</v>
      </c>
    </row>
    <row r="450" spans="6:13" x14ac:dyDescent="0.2">
      <c r="F450">
        <v>1064</v>
      </c>
      <c r="G450">
        <f t="shared" si="72"/>
        <v>1.0640000000000001</v>
      </c>
      <c r="H450">
        <f t="shared" si="73"/>
        <v>791</v>
      </c>
      <c r="I450" s="17">
        <f t="shared" si="77"/>
        <v>3.0438424771376232E-2</v>
      </c>
      <c r="J450" s="17">
        <f t="shared" si="77"/>
        <v>3.3047296734246563E-2</v>
      </c>
      <c r="K450" s="17">
        <f t="shared" si="77"/>
        <v>5.5027946222495169E-2</v>
      </c>
      <c r="L450" s="17">
        <f t="shared" si="77"/>
        <v>7.4239729233348525E-2</v>
      </c>
      <c r="M450" s="17">
        <f t="shared" si="77"/>
        <v>4.207226203780115E-2</v>
      </c>
    </row>
    <row r="451" spans="6:13" x14ac:dyDescent="0.2">
      <c r="F451">
        <v>1065</v>
      </c>
      <c r="G451">
        <f t="shared" si="72"/>
        <v>1.0649999999999999</v>
      </c>
      <c r="H451">
        <f t="shared" si="73"/>
        <v>792</v>
      </c>
      <c r="I451" s="17">
        <f t="shared" si="77"/>
        <v>3.0442238381570282E-2</v>
      </c>
      <c r="J451" s="17">
        <f t="shared" si="77"/>
        <v>3.3052659278004826E-2</v>
      </c>
      <c r="K451" s="17">
        <f t="shared" si="77"/>
        <v>5.5038651196675718E-2</v>
      </c>
      <c r="L451" s="17">
        <f t="shared" si="77"/>
        <v>7.427648346401744E-2</v>
      </c>
      <c r="M451" s="17">
        <f t="shared" si="77"/>
        <v>4.2084805669132461E-2</v>
      </c>
    </row>
    <row r="452" spans="6:13" x14ac:dyDescent="0.2">
      <c r="F452">
        <v>1066</v>
      </c>
      <c r="G452">
        <f t="shared" si="72"/>
        <v>1.0660000000000001</v>
      </c>
      <c r="H452">
        <f t="shared" si="73"/>
        <v>793</v>
      </c>
      <c r="I452" s="17">
        <f t="shared" si="77"/>
        <v>3.044605639922561E-2</v>
      </c>
      <c r="J452" s="17">
        <f t="shared" si="77"/>
        <v>3.3058015838315108E-2</v>
      </c>
      <c r="K452" s="17">
        <f t="shared" si="77"/>
        <v>5.504933894103705E-2</v>
      </c>
      <c r="L452" s="17">
        <f t="shared" si="77"/>
        <v>7.4313193279551812E-2</v>
      </c>
      <c r="M452" s="17">
        <f t="shared" si="77"/>
        <v>4.2097347075098379E-2</v>
      </c>
    </row>
    <row r="453" spans="6:13" x14ac:dyDescent="0.2">
      <c r="F453">
        <v>1067</v>
      </c>
      <c r="G453">
        <f t="shared" si="72"/>
        <v>1.0669999999999999</v>
      </c>
      <c r="H453">
        <f t="shared" si="73"/>
        <v>794</v>
      </c>
      <c r="I453" s="17">
        <f t="shared" si="77"/>
        <v>3.0449878810475957E-2</v>
      </c>
      <c r="J453" s="17">
        <f t="shared" si="77"/>
        <v>3.306336641417567E-2</v>
      </c>
      <c r="K453" s="17">
        <f t="shared" si="77"/>
        <v>5.5060009505657349E-2</v>
      </c>
      <c r="L453" s="17">
        <f t="shared" si="77"/>
        <v>7.4349858703269614E-2</v>
      </c>
      <c r="M453" s="17">
        <f t="shared" si="77"/>
        <v>4.2109886239056551E-2</v>
      </c>
    </row>
    <row r="454" spans="6:13" x14ac:dyDescent="0.2">
      <c r="F454">
        <v>1068</v>
      </c>
      <c r="G454">
        <f t="shared" si="72"/>
        <v>1.0680000000000001</v>
      </c>
      <c r="H454">
        <f t="shared" si="73"/>
        <v>795</v>
      </c>
      <c r="I454" s="17">
        <f t="shared" si="77"/>
        <v>3.0453705601442106E-2</v>
      </c>
      <c r="J454" s="17">
        <f t="shared" si="77"/>
        <v>3.3068711004627972E-2</v>
      </c>
      <c r="K454" s="17">
        <f t="shared" si="77"/>
        <v>5.5070662940603705E-2</v>
      </c>
      <c r="L454" s="17">
        <f t="shared" si="77"/>
        <v>7.4386479758544427E-2</v>
      </c>
      <c r="M454" s="17">
        <f t="shared" si="77"/>
        <v>4.2122423144371347E-2</v>
      </c>
    </row>
    <row r="455" spans="6:13" x14ac:dyDescent="0.2">
      <c r="F455">
        <v>1069</v>
      </c>
      <c r="G455">
        <f t="shared" si="72"/>
        <v>1.069</v>
      </c>
      <c r="H455">
        <f t="shared" si="73"/>
        <v>796</v>
      </c>
      <c r="I455" s="17">
        <f t="shared" si="77"/>
        <v>3.0457536758231919E-2</v>
      </c>
      <c r="J455" s="17">
        <f t="shared" si="77"/>
        <v>3.3074049608756297E-2</v>
      </c>
      <c r="K455" s="17">
        <f t="shared" si="77"/>
        <v>5.5081299295932015E-2</v>
      </c>
      <c r="L455" s="17">
        <f t="shared" si="77"/>
        <v>7.4423056468804927E-2</v>
      </c>
      <c r="M455" s="17">
        <f t="shared" si="77"/>
        <v>4.2134957774413812E-2</v>
      </c>
    </row>
    <row r="456" spans="6:13" x14ac:dyDescent="0.2">
      <c r="F456">
        <v>1070</v>
      </c>
      <c r="G456">
        <f t="shared" si="72"/>
        <v>1.07</v>
      </c>
      <c r="H456">
        <f t="shared" si="73"/>
        <v>797</v>
      </c>
      <c r="I456" s="17">
        <f t="shared" si="77"/>
        <v>3.046137226694046E-2</v>
      </c>
      <c r="J456" s="17">
        <f t="shared" si="77"/>
        <v>3.3079382225687674E-2</v>
      </c>
      <c r="K456" s="17">
        <f t="shared" si="77"/>
        <v>5.5091918621687212E-2</v>
      </c>
      <c r="L456" s="17">
        <f t="shared" si="77"/>
        <v>7.4459588857534703E-2</v>
      </c>
      <c r="M456" s="17">
        <f t="shared" si="77"/>
        <v>4.2147490112561636E-2</v>
      </c>
    </row>
    <row r="457" spans="6:13" x14ac:dyDescent="0.2">
      <c r="F457">
        <v>1071</v>
      </c>
      <c r="G457">
        <f t="shared" si="72"/>
        <v>1.071</v>
      </c>
      <c r="H457">
        <f t="shared" si="73"/>
        <v>798</v>
      </c>
      <c r="I457" s="17">
        <f t="shared" si="77"/>
        <v>3.0465212113650022E-2</v>
      </c>
      <c r="J457" s="17">
        <f t="shared" si="77"/>
        <v>3.3084708854591506E-2</v>
      </c>
      <c r="K457" s="17">
        <f t="shared" si="77"/>
        <v>5.5102520967903162E-2</v>
      </c>
      <c r="L457" s="17">
        <f t="shared" si="77"/>
        <v>7.44960769482719E-2</v>
      </c>
      <c r="M457" s="17">
        <f t="shared" si="77"/>
        <v>4.2160020142199092E-2</v>
      </c>
    </row>
    <row r="458" spans="6:13" x14ac:dyDescent="0.2">
      <c r="F458">
        <v>1072</v>
      </c>
      <c r="G458">
        <f t="shared" si="72"/>
        <v>1.0720000000000001</v>
      </c>
      <c r="H458">
        <f t="shared" si="73"/>
        <v>799</v>
      </c>
      <c r="I458" s="17">
        <f t="shared" si="77"/>
        <v>3.0469056284430255E-2</v>
      </c>
      <c r="J458" s="17">
        <f t="shared" si="77"/>
        <v>3.3090029494679395E-2</v>
      </c>
      <c r="K458" s="17">
        <f t="shared" si="77"/>
        <v>5.5113106384602886E-2</v>
      </c>
      <c r="L458" s="17">
        <f t="shared" si="77"/>
        <v>7.4532520764608937E-2</v>
      </c>
      <c r="M458" s="17">
        <f t="shared" si="77"/>
        <v>4.2172547846717076E-2</v>
      </c>
    </row>
    <row r="459" spans="6:13" x14ac:dyDescent="0.2">
      <c r="F459">
        <v>1073</v>
      </c>
      <c r="G459">
        <f t="shared" si="72"/>
        <v>1.073</v>
      </c>
      <c r="H459">
        <f t="shared" si="73"/>
        <v>800</v>
      </c>
      <c r="I459" s="17">
        <f t="shared" ref="I459:M468" si="78">(I$151+I$152*$G459+I$153*($G459^2)+I$154*($G459^3)+I$155/($G459^2))/1000</f>
        <v>3.0472904765338149E-2</v>
      </c>
      <c r="J459" s="17">
        <f t="shared" si="78"/>
        <v>3.3095344145204902E-2</v>
      </c>
      <c r="K459" s="17">
        <f t="shared" si="78"/>
        <v>5.5123674921798461E-2</v>
      </c>
      <c r="L459" s="17">
        <f t="shared" si="78"/>
        <v>7.4568920330192162E-2</v>
      </c>
      <c r="M459" s="17">
        <f t="shared" si="78"/>
        <v>4.2185073209512945E-2</v>
      </c>
    </row>
    <row r="460" spans="6:13" x14ac:dyDescent="0.2">
      <c r="F460">
        <v>1074</v>
      </c>
      <c r="G460">
        <f t="shared" si="72"/>
        <v>1.0740000000000001</v>
      </c>
      <c r="H460">
        <f t="shared" si="73"/>
        <v>801</v>
      </c>
      <c r="I460" s="17">
        <f t="shared" si="78"/>
        <v>3.0476757542418197E-2</v>
      </c>
      <c r="J460" s="17">
        <f t="shared" si="78"/>
        <v>3.3100652805463315E-2</v>
      </c>
      <c r="K460" s="17">
        <f t="shared" si="78"/>
        <v>5.5134226629491231E-2</v>
      </c>
      <c r="L460" s="17">
        <f t="shared" si="78"/>
        <v>7.4605275668721535E-2</v>
      </c>
      <c r="M460" s="17">
        <f t="shared" si="78"/>
        <v>4.2197596213990593E-2</v>
      </c>
    </row>
    <row r="461" spans="6:13" x14ac:dyDescent="0.2">
      <c r="F461">
        <v>1075</v>
      </c>
      <c r="G461">
        <f t="shared" si="72"/>
        <v>1.075</v>
      </c>
      <c r="H461">
        <f t="shared" si="73"/>
        <v>802</v>
      </c>
      <c r="I461" s="17">
        <f t="shared" si="78"/>
        <v>3.0480614601702427E-2</v>
      </c>
      <c r="J461" s="17">
        <f t="shared" si="78"/>
        <v>3.3105955474791372E-2</v>
      </c>
      <c r="K461" s="17">
        <f t="shared" si="78"/>
        <v>5.5144761557671722E-2</v>
      </c>
      <c r="L461" s="17">
        <f t="shared" si="78"/>
        <v>7.4641586803950458E-2</v>
      </c>
      <c r="M461" s="17">
        <f t="shared" si="78"/>
        <v>4.2210116843560373E-2</v>
      </c>
    </row>
    <row r="462" spans="6:13" x14ac:dyDescent="0.2">
      <c r="F462">
        <v>1076</v>
      </c>
      <c r="G462">
        <f t="shared" si="72"/>
        <v>1.0760000000000001</v>
      </c>
      <c r="H462">
        <f t="shared" si="73"/>
        <v>803</v>
      </c>
      <c r="I462" s="17">
        <f t="shared" si="78"/>
        <v>3.0484475929210435E-2</v>
      </c>
      <c r="J462" s="17">
        <f t="shared" si="78"/>
        <v>3.3111252152567099E-2</v>
      </c>
      <c r="K462" s="17">
        <f t="shared" si="78"/>
        <v>5.5155279756319849E-2</v>
      </c>
      <c r="L462" s="17">
        <f t="shared" si="78"/>
        <v>7.4677853759685428E-2</v>
      </c>
      <c r="M462" s="17">
        <f t="shared" si="78"/>
        <v>4.222263508163903E-2</v>
      </c>
    </row>
    <row r="463" spans="6:13" x14ac:dyDescent="0.2">
      <c r="F463">
        <v>1077</v>
      </c>
      <c r="G463">
        <f t="shared" si="72"/>
        <v>1.077</v>
      </c>
      <c r="H463">
        <f t="shared" si="73"/>
        <v>804</v>
      </c>
      <c r="I463" s="17">
        <f t="shared" si="78"/>
        <v>3.0488341510949521E-2</v>
      </c>
      <c r="J463" s="17">
        <f t="shared" si="78"/>
        <v>3.3116542838209535E-2</v>
      </c>
      <c r="K463" s="17">
        <f t="shared" si="78"/>
        <v>5.5165781275404849E-2</v>
      </c>
      <c r="L463" s="17">
        <f t="shared" si="78"/>
        <v>7.4714076559785514E-2</v>
      </c>
      <c r="M463" s="17">
        <f t="shared" si="78"/>
        <v>4.2235150911649762E-2</v>
      </c>
    </row>
    <row r="464" spans="6:13" x14ac:dyDescent="0.2">
      <c r="F464">
        <v>1078</v>
      </c>
      <c r="G464">
        <f t="shared" si="72"/>
        <v>1.0780000000000001</v>
      </c>
      <c r="H464">
        <f t="shared" si="73"/>
        <v>805</v>
      </c>
      <c r="I464" s="17">
        <f t="shared" si="78"/>
        <v>3.0492211332914698E-2</v>
      </c>
      <c r="J464" s="17">
        <f t="shared" si="78"/>
        <v>3.312182753117851E-2</v>
      </c>
      <c r="K464" s="17">
        <f t="shared" si="78"/>
        <v>5.517626616488544E-2</v>
      </c>
      <c r="L464" s="17">
        <f t="shared" si="78"/>
        <v>7.475025522816249E-2</v>
      </c>
      <c r="M464" s="17">
        <f t="shared" si="78"/>
        <v>4.2247664317022024E-2</v>
      </c>
    </row>
    <row r="465" spans="6:13" x14ac:dyDescent="0.2">
      <c r="F465">
        <v>1079</v>
      </c>
      <c r="G465">
        <f t="shared" si="72"/>
        <v>1.079</v>
      </c>
      <c r="H465">
        <f t="shared" si="73"/>
        <v>806</v>
      </c>
      <c r="I465" s="17">
        <f t="shared" si="78"/>
        <v>3.0496085381088823E-2</v>
      </c>
      <c r="J465" s="17">
        <f t="shared" si="78"/>
        <v>3.3127106230974424E-2</v>
      </c>
      <c r="K465" s="17">
        <f t="shared" si="78"/>
        <v>5.5186734474709766E-2</v>
      </c>
      <c r="L465" s="17">
        <f t="shared" si="78"/>
        <v>7.4786389788780105E-2</v>
      </c>
      <c r="M465" s="17">
        <f t="shared" si="78"/>
        <v>4.2260175281191657E-2</v>
      </c>
    </row>
    <row r="466" spans="6:13" x14ac:dyDescent="0.2">
      <c r="F466">
        <v>1080</v>
      </c>
      <c r="G466">
        <f t="shared" si="72"/>
        <v>1.08</v>
      </c>
      <c r="H466">
        <f t="shared" si="73"/>
        <v>807</v>
      </c>
      <c r="I466" s="17">
        <f t="shared" si="78"/>
        <v>3.0499963641442591E-2</v>
      </c>
      <c r="J466" s="17">
        <f t="shared" si="78"/>
        <v>3.3132378937138038E-2</v>
      </c>
      <c r="K466" s="17">
        <f t="shared" si="78"/>
        <v>5.5197186254815622E-2</v>
      </c>
      <c r="L466" s="17">
        <f t="shared" si="78"/>
        <v>7.4822480265654065E-2</v>
      </c>
      <c r="M466" s="17">
        <f t="shared" si="78"/>
        <v>4.2272683787600761E-2</v>
      </c>
    </row>
    <row r="467" spans="6:13" x14ac:dyDescent="0.2">
      <c r="F467">
        <v>1081</v>
      </c>
      <c r="G467">
        <f t="shared" si="72"/>
        <v>1.081</v>
      </c>
      <c r="H467">
        <f t="shared" si="73"/>
        <v>808</v>
      </c>
      <c r="I467" s="17">
        <f t="shared" si="78"/>
        <v>3.0503846099934666E-2</v>
      </c>
      <c r="J467" s="17">
        <f t="shared" si="78"/>
        <v>3.3137645649250209E-2</v>
      </c>
      <c r="K467" s="17">
        <f t="shared" si="78"/>
        <v>5.5207621555130287E-2</v>
      </c>
      <c r="L467" s="17">
        <f t="shared" si="78"/>
        <v>7.4858526682851784E-2</v>
      </c>
      <c r="M467" s="17">
        <f t="shared" si="78"/>
        <v>4.2285189819697692E-2</v>
      </c>
    </row>
    <row r="468" spans="6:13" x14ac:dyDescent="0.2">
      <c r="F468">
        <v>1082</v>
      </c>
      <c r="G468">
        <f t="shared" si="72"/>
        <v>1.0820000000000001</v>
      </c>
      <c r="H468">
        <f t="shared" si="73"/>
        <v>809</v>
      </c>
      <c r="I468" s="17">
        <f t="shared" si="78"/>
        <v>3.0507732742511687E-2</v>
      </c>
      <c r="J468" s="17">
        <f t="shared" si="78"/>
        <v>3.31429063669317E-2</v>
      </c>
      <c r="K468" s="17">
        <f t="shared" si="78"/>
        <v>5.5218040425570838E-2</v>
      </c>
      <c r="L468" s="17">
        <f t="shared" si="78"/>
        <v>7.4894529064491816E-2</v>
      </c>
      <c r="M468" s="17">
        <f t="shared" si="78"/>
        <v>4.2297693360937007E-2</v>
      </c>
    </row>
    <row r="469" spans="6:13" x14ac:dyDescent="0.2">
      <c r="F469">
        <v>1083</v>
      </c>
      <c r="G469">
        <f t="shared" si="72"/>
        <v>1.083</v>
      </c>
      <c r="H469">
        <f t="shared" si="73"/>
        <v>810</v>
      </c>
      <c r="I469" s="17">
        <f t="shared" ref="I469:M478" si="79">(I$151+I$152*$G469+I$153*($G469^2)+I$154*($G469^3)+I$155/($G469^2))/1000</f>
        <v>3.051162355510843E-2</v>
      </c>
      <c r="J469" s="17">
        <f t="shared" si="79"/>
        <v>3.3148161089842948E-2</v>
      </c>
      <c r="K469" s="17">
        <f t="shared" si="79"/>
        <v>5.5228442916043965E-2</v>
      </c>
      <c r="L469" s="17">
        <f t="shared" si="79"/>
        <v>7.4930487434743898E-2</v>
      </c>
      <c r="M469" s="17">
        <f t="shared" si="79"/>
        <v>4.2310194394779413E-2</v>
      </c>
    </row>
    <row r="470" spans="6:13" x14ac:dyDescent="0.2">
      <c r="F470">
        <v>1084</v>
      </c>
      <c r="G470">
        <f t="shared" si="72"/>
        <v>1.0840000000000001</v>
      </c>
      <c r="H470">
        <f t="shared" si="73"/>
        <v>811</v>
      </c>
      <c r="I470" s="17">
        <f t="shared" si="79"/>
        <v>3.0515518523647749E-2</v>
      </c>
      <c r="J470" s="17">
        <f t="shared" si="79"/>
        <v>3.3153409817683853E-2</v>
      </c>
      <c r="K470" s="17">
        <f t="shared" si="79"/>
        <v>5.5238829076446228E-2</v>
      </c>
      <c r="L470" s="17">
        <f t="shared" si="79"/>
        <v>7.4966401817828376E-2</v>
      </c>
      <c r="M470" s="17">
        <f t="shared" si="79"/>
        <v>4.2322692904691851E-2</v>
      </c>
    </row>
    <row r="471" spans="6:13" x14ac:dyDescent="0.2">
      <c r="F471">
        <v>1085</v>
      </c>
      <c r="G471">
        <f t="shared" si="72"/>
        <v>1.085</v>
      </c>
      <c r="H471">
        <f t="shared" si="73"/>
        <v>812</v>
      </c>
      <c r="I471" s="17">
        <f t="shared" si="79"/>
        <v>3.0519417634040744E-2</v>
      </c>
      <c r="J471" s="17">
        <f t="shared" si="79"/>
        <v>3.3158652550193568E-2</v>
      </c>
      <c r="K471" s="17">
        <f t="shared" si="79"/>
        <v>5.524919895666397E-2</v>
      </c>
      <c r="L471" s="17">
        <f t="shared" si="79"/>
        <v>7.5002272238016129E-2</v>
      </c>
      <c r="M471" s="17">
        <f t="shared" si="79"/>
        <v>4.2335188874147243E-2</v>
      </c>
    </row>
    <row r="472" spans="6:13" x14ac:dyDescent="0.2">
      <c r="F472">
        <v>1086</v>
      </c>
      <c r="G472">
        <f t="shared" si="72"/>
        <v>1.0860000000000001</v>
      </c>
      <c r="H472">
        <f t="shared" si="73"/>
        <v>813</v>
      </c>
      <c r="I472" s="17">
        <f t="shared" si="79"/>
        <v>3.052332087218677E-2</v>
      </c>
      <c r="J472" s="17">
        <f t="shared" si="79"/>
        <v>3.3163889287150229E-2</v>
      </c>
      <c r="K472" s="17">
        <f t="shared" si="79"/>
        <v>5.525955260657342E-2</v>
      </c>
      <c r="L472" s="17">
        <f t="shared" si="79"/>
        <v>7.5038098719628285E-2</v>
      </c>
      <c r="M472" s="17">
        <f t="shared" si="79"/>
        <v>4.234768228662468E-2</v>
      </c>
    </row>
    <row r="473" spans="6:13" x14ac:dyDescent="0.2">
      <c r="F473">
        <v>1087</v>
      </c>
      <c r="G473">
        <f t="shared" si="72"/>
        <v>1.087</v>
      </c>
      <c r="H473">
        <f t="shared" si="73"/>
        <v>814</v>
      </c>
      <c r="I473" s="17">
        <f t="shared" si="79"/>
        <v>3.0527228223973531E-2</v>
      </c>
      <c r="J473" s="17">
        <f t="shared" si="79"/>
        <v>3.3169120028370816E-2</v>
      </c>
      <c r="K473" s="17">
        <f t="shared" si="79"/>
        <v>5.5269890076040828E-2</v>
      </c>
      <c r="L473" s="17">
        <f t="shared" si="79"/>
        <v>7.5073881287035765E-2</v>
      </c>
      <c r="M473" s="17">
        <f t="shared" si="79"/>
        <v>4.2360173125609281E-2</v>
      </c>
    </row>
    <row r="474" spans="6:13" x14ac:dyDescent="0.2">
      <c r="F474">
        <v>1088</v>
      </c>
      <c r="G474">
        <f t="shared" si="72"/>
        <v>1.0880000000000001</v>
      </c>
      <c r="H474">
        <f t="shared" si="73"/>
        <v>815</v>
      </c>
      <c r="I474" s="17">
        <f t="shared" si="79"/>
        <v>3.0531139675277132E-2</v>
      </c>
      <c r="J474" s="17">
        <f t="shared" si="79"/>
        <v>3.3174344773710895E-2</v>
      </c>
      <c r="K474" s="17">
        <f t="shared" si="79"/>
        <v>5.5280211414922363E-2</v>
      </c>
      <c r="L474" s="17">
        <f t="shared" si="79"/>
        <v>7.5109619964659188E-2</v>
      </c>
      <c r="M474" s="17">
        <f t="shared" si="79"/>
        <v>4.2372661374592141E-2</v>
      </c>
    </row>
    <row r="475" spans="6:13" x14ac:dyDescent="0.2">
      <c r="F475">
        <v>1089</v>
      </c>
      <c r="G475">
        <f t="shared" si="72"/>
        <v>1.089</v>
      </c>
      <c r="H475">
        <f t="shared" si="73"/>
        <v>816</v>
      </c>
      <c r="I475" s="17">
        <f t="shared" si="79"/>
        <v>3.0535055211962141E-2</v>
      </c>
      <c r="J475" s="17">
        <f t="shared" si="79"/>
        <v>3.3179563523064393E-2</v>
      </c>
      <c r="K475" s="17">
        <f t="shared" si="79"/>
        <v>5.5290516673064304E-2</v>
      </c>
      <c r="L475" s="17">
        <f t="shared" si="79"/>
        <v>7.5145314776968564E-2</v>
      </c>
      <c r="M475" s="17">
        <f t="shared" si="79"/>
        <v>4.2385147017070336E-2</v>
      </c>
    </row>
    <row r="476" spans="6:13" x14ac:dyDescent="0.2">
      <c r="F476">
        <v>1090</v>
      </c>
      <c r="G476">
        <f t="shared" si="72"/>
        <v>1.0900000000000001</v>
      </c>
      <c r="H476">
        <f t="shared" si="73"/>
        <v>817</v>
      </c>
      <c r="I476" s="17">
        <f t="shared" si="79"/>
        <v>3.0538974819881642E-2</v>
      </c>
      <c r="J476" s="17">
        <f t="shared" si="79"/>
        <v>3.3184776276363438E-2</v>
      </c>
      <c r="K476" s="17">
        <f t="shared" si="79"/>
        <v>5.5300805900303042E-2</v>
      </c>
      <c r="L476" s="17">
        <f t="shared" si="79"/>
        <v>7.5180965748482945E-2</v>
      </c>
      <c r="M476" s="17">
        <f t="shared" si="79"/>
        <v>4.2397630036546931E-2</v>
      </c>
    </row>
    <row r="477" spans="6:13" x14ac:dyDescent="0.2">
      <c r="F477">
        <v>1091</v>
      </c>
      <c r="G477">
        <f t="shared" si="72"/>
        <v>1.091</v>
      </c>
      <c r="H477">
        <f t="shared" si="73"/>
        <v>818</v>
      </c>
      <c r="I477" s="17">
        <f t="shared" si="79"/>
        <v>3.0542898484877332E-2</v>
      </c>
      <c r="J477" s="17">
        <f t="shared" si="79"/>
        <v>3.3189983033578063E-2</v>
      </c>
      <c r="K477" s="17">
        <f t="shared" si="79"/>
        <v>5.5311079146465117E-2</v>
      </c>
      <c r="L477" s="17">
        <f t="shared" si="79"/>
        <v>7.5216572903770165E-2</v>
      </c>
      <c r="M477" s="17">
        <f t="shared" si="79"/>
        <v>4.2410110416530825E-2</v>
      </c>
    </row>
    <row r="478" spans="6:13" x14ac:dyDescent="0.2">
      <c r="F478">
        <v>1092</v>
      </c>
      <c r="G478">
        <f t="shared" si="72"/>
        <v>1.0920000000000001</v>
      </c>
      <c r="H478">
        <f t="shared" si="73"/>
        <v>819</v>
      </c>
      <c r="I478" s="17">
        <f t="shared" si="79"/>
        <v>3.0546826192779552E-2</v>
      </c>
      <c r="J478" s="17">
        <f t="shared" si="79"/>
        <v>3.3195183794716129E-2</v>
      </c>
      <c r="K478" s="17">
        <f t="shared" si="79"/>
        <v>5.5321336461367311E-2</v>
      </c>
      <c r="L478" s="17">
        <f t="shared" si="79"/>
        <v>7.525213626744677E-2</v>
      </c>
      <c r="M478" s="17">
        <f t="shared" si="79"/>
        <v>4.2422588140536864E-2</v>
      </c>
    </row>
    <row r="479" spans="6:13" x14ac:dyDescent="0.2">
      <c r="F479">
        <v>1093</v>
      </c>
      <c r="G479">
        <f t="shared" ref="G479:G510" si="80">F479/1000</f>
        <v>1.093</v>
      </c>
      <c r="H479">
        <f t="shared" si="73"/>
        <v>820</v>
      </c>
      <c r="I479" s="17">
        <f t="shared" ref="I479:M488" si="81">(I$151+I$152*$G479+I$153*($G479^2)+I$154*($G479^3)+I$155/($G479^2))/1000</f>
        <v>3.0550757929407358E-2</v>
      </c>
      <c r="J479" s="17">
        <f t="shared" si="81"/>
        <v>3.3200378559822989E-2</v>
      </c>
      <c r="K479" s="17">
        <f t="shared" si="81"/>
        <v>5.5331577894816672E-2</v>
      </c>
      <c r="L479" s="17">
        <f t="shared" si="81"/>
        <v>7.5287655864177377E-2</v>
      </c>
      <c r="M479" s="17">
        <f t="shared" si="81"/>
        <v>4.2435063192085704E-2</v>
      </c>
    </row>
    <row r="480" spans="6:13" x14ac:dyDescent="0.2">
      <c r="F480">
        <v>1094</v>
      </c>
      <c r="G480">
        <f t="shared" si="80"/>
        <v>1.0940000000000001</v>
      </c>
      <c r="H480">
        <f t="shared" si="73"/>
        <v>821</v>
      </c>
      <c r="I480" s="17">
        <f t="shared" si="81"/>
        <v>3.0554693680568602E-2</v>
      </c>
      <c r="J480" s="17">
        <f t="shared" si="81"/>
        <v>3.3205567328981341E-2</v>
      </c>
      <c r="K480" s="17">
        <f t="shared" si="81"/>
        <v>5.5341803496610581E-2</v>
      </c>
      <c r="L480" s="17">
        <f t="shared" si="81"/>
        <v>7.5323131718674829E-2</v>
      </c>
      <c r="M480" s="17">
        <f t="shared" si="81"/>
        <v>4.2447535554703819E-2</v>
      </c>
    </row>
    <row r="481" spans="6:13" x14ac:dyDescent="0.2">
      <c r="F481">
        <v>1095</v>
      </c>
      <c r="G481">
        <f t="shared" si="80"/>
        <v>1.095</v>
      </c>
      <c r="H481">
        <f t="shared" ref="H481:H510" si="82">F481-273</f>
        <v>822</v>
      </c>
      <c r="I481" s="17">
        <f t="shared" si="81"/>
        <v>3.0558633432059945E-2</v>
      </c>
      <c r="J481" s="17">
        <f t="shared" si="81"/>
        <v>3.3210750102311018E-2</v>
      </c>
      <c r="K481" s="17">
        <f t="shared" si="81"/>
        <v>5.5352013316536809E-2</v>
      </c>
      <c r="L481" s="17">
        <f t="shared" si="81"/>
        <v>7.5358563855699556E-2</v>
      </c>
      <c r="M481" s="17">
        <f t="shared" si="81"/>
        <v>4.2460005211923467E-2</v>
      </c>
    </row>
    <row r="482" spans="6:13" x14ac:dyDescent="0.2">
      <c r="F482">
        <v>1096</v>
      </c>
      <c r="G482">
        <f t="shared" si="80"/>
        <v>1.0960000000000001</v>
      </c>
      <c r="H482">
        <f t="shared" si="82"/>
        <v>823</v>
      </c>
      <c r="I482" s="17">
        <f t="shared" si="81"/>
        <v>3.0562577169666975E-2</v>
      </c>
      <c r="J482" s="17">
        <f t="shared" si="81"/>
        <v>3.3215926879968792E-2</v>
      </c>
      <c r="K482" s="17">
        <f t="shared" si="81"/>
        <v>5.5362207404373538E-2</v>
      </c>
      <c r="L482" s="17">
        <f t="shared" si="81"/>
        <v>7.5393952300059644E-2</v>
      </c>
      <c r="M482" s="17">
        <f t="shared" si="81"/>
        <v>4.2472472147282662E-2</v>
      </c>
    </row>
    <row r="483" spans="6:13" x14ac:dyDescent="0.2">
      <c r="F483">
        <v>1097</v>
      </c>
      <c r="G483">
        <f t="shared" si="80"/>
        <v>1.097</v>
      </c>
      <c r="H483">
        <f t="shared" si="82"/>
        <v>824</v>
      </c>
      <c r="I483" s="17">
        <f t="shared" si="81"/>
        <v>3.0566524879164236E-2</v>
      </c>
      <c r="J483" s="17">
        <f t="shared" si="81"/>
        <v>3.3221097662148161E-2</v>
      </c>
      <c r="K483" s="17">
        <f t="shared" si="81"/>
        <v>5.5372385809889499E-2</v>
      </c>
      <c r="L483" s="17">
        <f t="shared" si="81"/>
        <v>7.542929707661028E-2</v>
      </c>
      <c r="M483" s="17">
        <f t="shared" si="81"/>
        <v>4.2484936344325097E-2</v>
      </c>
    </row>
    <row r="484" spans="6:13" x14ac:dyDescent="0.2">
      <c r="F484">
        <v>1098</v>
      </c>
      <c r="G484">
        <f t="shared" si="80"/>
        <v>1.0980000000000001</v>
      </c>
      <c r="H484">
        <f t="shared" si="82"/>
        <v>825</v>
      </c>
      <c r="I484" s="17">
        <f t="shared" si="81"/>
        <v>3.0570476546315291E-2</v>
      </c>
      <c r="J484" s="17">
        <f t="shared" si="81"/>
        <v>3.3226262449079148E-2</v>
      </c>
      <c r="K484" s="17">
        <f t="shared" si="81"/>
        <v>5.5382548582843874E-2</v>
      </c>
      <c r="L484" s="17">
        <f t="shared" si="81"/>
        <v>7.5464598210253711E-2</v>
      </c>
      <c r="M484" s="17">
        <f t="shared" si="81"/>
        <v>4.2497397786600222E-2</v>
      </c>
    </row>
    <row r="485" spans="6:13" x14ac:dyDescent="0.2">
      <c r="F485">
        <v>1099</v>
      </c>
      <c r="G485">
        <f t="shared" si="80"/>
        <v>1.099</v>
      </c>
      <c r="H485">
        <f t="shared" si="82"/>
        <v>826</v>
      </c>
      <c r="I485" s="17">
        <f t="shared" si="81"/>
        <v>3.0574432156872784E-2</v>
      </c>
      <c r="J485" s="17">
        <f t="shared" si="81"/>
        <v>3.3231421241028104E-2</v>
      </c>
      <c r="K485" s="17">
        <f t="shared" si="81"/>
        <v>5.5392695772986514E-2</v>
      </c>
      <c r="L485" s="17">
        <f t="shared" si="81"/>
        <v>7.5499855725938855E-2</v>
      </c>
      <c r="M485" s="17">
        <f t="shared" si="81"/>
        <v>4.2509856457663094E-2</v>
      </c>
    </row>
    <row r="486" spans="6:13" x14ac:dyDescent="0.2">
      <c r="F486">
        <v>1100</v>
      </c>
      <c r="G486">
        <f t="shared" si="80"/>
        <v>1.1000000000000001</v>
      </c>
      <c r="H486">
        <f t="shared" si="82"/>
        <v>827</v>
      </c>
      <c r="I486" s="17">
        <f t="shared" si="81"/>
        <v>3.0578391696578517E-2</v>
      </c>
      <c r="J486" s="17">
        <f t="shared" si="81"/>
        <v>3.3236574038297523E-2</v>
      </c>
      <c r="K486" s="17">
        <f t="shared" si="81"/>
        <v>5.5402827430057852E-2</v>
      </c>
      <c r="L486" s="17">
        <f t="shared" si="81"/>
        <v>7.5535069648661149E-2</v>
      </c>
      <c r="M486" s="17">
        <f t="shared" si="81"/>
        <v>4.2522312341074384E-2</v>
      </c>
    </row>
    <row r="487" spans="6:13" x14ac:dyDescent="0.2">
      <c r="F487">
        <v>1101</v>
      </c>
      <c r="G487">
        <f t="shared" si="80"/>
        <v>1.101</v>
      </c>
      <c r="H487">
        <f t="shared" si="82"/>
        <v>828</v>
      </c>
      <c r="I487" s="17">
        <f t="shared" si="81"/>
        <v>3.0582355151163462E-2</v>
      </c>
      <c r="J487" s="17">
        <f t="shared" si="81"/>
        <v>3.32417208412258E-2</v>
      </c>
      <c r="K487" s="17">
        <f t="shared" si="81"/>
        <v>5.541294360378908E-2</v>
      </c>
      <c r="L487" s="17">
        <f t="shared" si="81"/>
        <v>7.5570240003462255E-2</v>
      </c>
      <c r="M487" s="17">
        <f t="shared" si="81"/>
        <v>4.253476542040039E-2</v>
      </c>
    </row>
    <row r="488" spans="6:13" x14ac:dyDescent="0.2">
      <c r="F488">
        <v>1102</v>
      </c>
      <c r="G488">
        <f t="shared" si="80"/>
        <v>1.1020000000000001</v>
      </c>
      <c r="H488">
        <f t="shared" si="82"/>
        <v>829</v>
      </c>
      <c r="I488" s="17">
        <f t="shared" si="81"/>
        <v>3.0586322506347879E-2</v>
      </c>
      <c r="J488" s="17">
        <f t="shared" si="81"/>
        <v>3.3246861650187108E-2</v>
      </c>
      <c r="K488" s="17">
        <f t="shared" si="81"/>
        <v>5.5423044343902064E-2</v>
      </c>
      <c r="L488" s="17">
        <f t="shared" si="81"/>
        <v>7.5605366815429703E-2</v>
      </c>
      <c r="M488" s="17">
        <f t="shared" si="81"/>
        <v>4.2547215679212963E-2</v>
      </c>
    </row>
    <row r="489" spans="6:13" x14ac:dyDescent="0.2">
      <c r="F489">
        <v>1103</v>
      </c>
      <c r="G489">
        <f t="shared" si="80"/>
        <v>1.103</v>
      </c>
      <c r="H489">
        <f t="shared" si="82"/>
        <v>830</v>
      </c>
      <c r="I489" s="17">
        <f t="shared" ref="I489:M498" si="83">(I$151+I$152*$G489+I$153*($G489^2)+I$154*($G489^3)+I$155/($G489^2))/1000</f>
        <v>3.0590293747841335E-2</v>
      </c>
      <c r="J489" s="17">
        <f t="shared" si="83"/>
        <v>3.3251996465591141E-2</v>
      </c>
      <c r="K489" s="17">
        <f t="shared" si="83"/>
        <v>5.5433129700109537E-2</v>
      </c>
      <c r="L489" s="17">
        <f t="shared" si="83"/>
        <v>7.5640450109696875E-2</v>
      </c>
      <c r="M489" s="17">
        <f t="shared" si="83"/>
        <v>4.2559663101089482E-2</v>
      </c>
    </row>
    <row r="490" spans="6:13" x14ac:dyDescent="0.2">
      <c r="F490">
        <v>1104</v>
      </c>
      <c r="G490">
        <f t="shared" si="80"/>
        <v>1.1040000000000001</v>
      </c>
      <c r="H490">
        <f t="shared" si="82"/>
        <v>831</v>
      </c>
      <c r="I490" s="17">
        <f t="shared" si="83"/>
        <v>3.0594268861342769E-2</v>
      </c>
      <c r="J490" s="17">
        <f t="shared" si="83"/>
        <v>3.3257125287882945E-2</v>
      </c>
      <c r="K490" s="17">
        <f t="shared" si="83"/>
        <v>5.5443199722115019E-2</v>
      </c>
      <c r="L490" s="17">
        <f t="shared" si="83"/>
        <v>7.5675489911442503E-2</v>
      </c>
      <c r="M490" s="17">
        <f t="shared" si="83"/>
        <v>4.2572107669612856E-2</v>
      </c>
    </row>
    <row r="491" spans="6:13" x14ac:dyDescent="0.2">
      <c r="F491">
        <v>1105</v>
      </c>
      <c r="G491">
        <f t="shared" si="80"/>
        <v>1.105</v>
      </c>
      <c r="H491">
        <f t="shared" si="82"/>
        <v>832</v>
      </c>
      <c r="I491" s="17">
        <f t="shared" si="83"/>
        <v>3.0598247832540566E-2</v>
      </c>
      <c r="J491" s="17">
        <f t="shared" si="83"/>
        <v>3.3262248117542748E-2</v>
      </c>
      <c r="K491" s="17">
        <f t="shared" si="83"/>
        <v>5.5453254459612952E-2</v>
      </c>
      <c r="L491" s="17">
        <f t="shared" si="83"/>
        <v>7.5710486245890565E-2</v>
      </c>
      <c r="M491" s="17">
        <f t="shared" si="83"/>
        <v>4.2584549368371409E-2</v>
      </c>
    </row>
    <row r="492" spans="6:13" x14ac:dyDescent="0.2">
      <c r="F492">
        <v>1106</v>
      </c>
      <c r="G492">
        <f t="shared" si="80"/>
        <v>1.1060000000000001</v>
      </c>
      <c r="H492">
        <f t="shared" si="82"/>
        <v>833</v>
      </c>
      <c r="I492" s="17">
        <f t="shared" si="83"/>
        <v>3.0602230647112587E-2</v>
      </c>
      <c r="J492" s="17">
        <f t="shared" si="83"/>
        <v>3.3267364955085699E-2</v>
      </c>
      <c r="K492" s="17">
        <f t="shared" si="83"/>
        <v>5.5463293962288711E-2</v>
      </c>
      <c r="L492" s="17">
        <f t="shared" si="83"/>
        <v>7.5745439138310069E-2</v>
      </c>
      <c r="M492" s="17">
        <f t="shared" si="83"/>
        <v>4.2596988180958972E-2</v>
      </c>
    </row>
    <row r="493" spans="6:13" x14ac:dyDescent="0.2">
      <c r="F493">
        <v>1107</v>
      </c>
      <c r="G493">
        <f t="shared" si="80"/>
        <v>1.107</v>
      </c>
      <c r="H493">
        <f t="shared" si="82"/>
        <v>834</v>
      </c>
      <c r="I493" s="17">
        <f t="shared" si="83"/>
        <v>3.0606217290726254E-2</v>
      </c>
      <c r="J493" s="17">
        <f t="shared" si="83"/>
        <v>3.3272475801061775E-2</v>
      </c>
      <c r="K493" s="17">
        <f t="shared" si="83"/>
        <v>5.5473318279818669E-2</v>
      </c>
      <c r="L493" s="17">
        <f t="shared" si="83"/>
        <v>7.5780348614014711E-2</v>
      </c>
      <c r="M493" s="17">
        <f t="shared" si="83"/>
        <v>4.2609424090974755E-2</v>
      </c>
    </row>
    <row r="494" spans="6:13" x14ac:dyDescent="0.2">
      <c r="F494">
        <v>1108</v>
      </c>
      <c r="G494">
        <f t="shared" si="80"/>
        <v>1.1080000000000001</v>
      </c>
      <c r="H494">
        <f t="shared" si="82"/>
        <v>835</v>
      </c>
      <c r="I494" s="17">
        <f t="shared" si="83"/>
        <v>3.0610207749038585E-2</v>
      </c>
      <c r="J494" s="17">
        <f t="shared" si="83"/>
        <v>3.3277580656055496E-2</v>
      </c>
      <c r="K494" s="17">
        <f t="shared" si="83"/>
        <v>5.5483327461870249E-2</v>
      </c>
      <c r="L494" s="17">
        <f t="shared" si="83"/>
        <v>7.5815214698362665E-2</v>
      </c>
      <c r="M494" s="17">
        <f t="shared" si="83"/>
        <v>4.2621857082023366E-2</v>
      </c>
    </row>
    <row r="495" spans="6:13" x14ac:dyDescent="0.2">
      <c r="F495">
        <v>1109</v>
      </c>
      <c r="G495">
        <f t="shared" si="80"/>
        <v>1.109</v>
      </c>
      <c r="H495">
        <f t="shared" si="82"/>
        <v>836</v>
      </c>
      <c r="I495" s="17">
        <f t="shared" si="83"/>
        <v>3.0614202007696264E-2</v>
      </c>
      <c r="J495" s="17">
        <f t="shared" si="83"/>
        <v>3.3282679520685858E-2</v>
      </c>
      <c r="K495" s="17">
        <f t="shared" si="83"/>
        <v>5.5493321558101938E-2</v>
      </c>
      <c r="L495" s="17">
        <f t="shared" si="83"/>
        <v>7.5850037416756361E-2</v>
      </c>
      <c r="M495" s="17">
        <f t="shared" si="83"/>
        <v>4.2634287137714763E-2</v>
      </c>
    </row>
    <row r="496" spans="6:13" x14ac:dyDescent="0.2">
      <c r="F496">
        <v>1110</v>
      </c>
      <c r="G496">
        <f t="shared" si="80"/>
        <v>1.1100000000000001</v>
      </c>
      <c r="H496">
        <f t="shared" si="82"/>
        <v>837</v>
      </c>
      <c r="I496" s="17">
        <f t="shared" si="83"/>
        <v>3.0618200052335686E-2</v>
      </c>
      <c r="J496" s="17">
        <f t="shared" si="83"/>
        <v>3.3287772395606E-2</v>
      </c>
      <c r="K496" s="17">
        <f t="shared" si="83"/>
        <v>5.5503300618163394E-2</v>
      </c>
      <c r="L496" s="17">
        <f t="shared" si="83"/>
        <v>7.5884816794642262E-2</v>
      </c>
      <c r="M496" s="17">
        <f t="shared" si="83"/>
        <v>4.2646714241664226E-2</v>
      </c>
    </row>
    <row r="497" spans="6:17" x14ac:dyDescent="0.2">
      <c r="F497">
        <v>1111</v>
      </c>
      <c r="G497">
        <f t="shared" si="80"/>
        <v>1.111</v>
      </c>
      <c r="H497">
        <f t="shared" si="82"/>
        <v>838</v>
      </c>
      <c r="I497" s="17">
        <f t="shared" si="83"/>
        <v>3.0622201868583034E-2</v>
      </c>
      <c r="J497" s="17">
        <f t="shared" si="83"/>
        <v>3.3292859281503114E-2</v>
      </c>
      <c r="K497" s="17">
        <f t="shared" si="83"/>
        <v>5.5513264691695458E-2</v>
      </c>
      <c r="L497" s="17">
        <f t="shared" si="83"/>
        <v>7.591955285751055E-2</v>
      </c>
      <c r="M497" s="17">
        <f t="shared" si="83"/>
        <v>4.2659138377492363E-2</v>
      </c>
    </row>
    <row r="498" spans="6:17" x14ac:dyDescent="0.2">
      <c r="F498">
        <v>1112</v>
      </c>
      <c r="G498">
        <f t="shared" si="80"/>
        <v>1.1120000000000001</v>
      </c>
      <c r="H498">
        <f t="shared" si="82"/>
        <v>839</v>
      </c>
      <c r="I498" s="17">
        <f t="shared" si="83"/>
        <v>3.0626207442054302E-2</v>
      </c>
      <c r="J498" s="17">
        <f t="shared" si="83"/>
        <v>3.3297940179098276E-2</v>
      </c>
      <c r="K498" s="17">
        <f t="shared" si="83"/>
        <v>5.5523213828330156E-2</v>
      </c>
      <c r="L498" s="17">
        <f t="shared" si="83"/>
        <v>7.595424563089502E-2</v>
      </c>
      <c r="M498" s="17">
        <f t="shared" si="83"/>
        <v>4.2671559528825016E-2</v>
      </c>
    </row>
    <row r="499" spans="6:17" x14ac:dyDescent="0.2">
      <c r="F499">
        <v>1113</v>
      </c>
      <c r="G499">
        <f t="shared" si="80"/>
        <v>1.113</v>
      </c>
      <c r="H499">
        <f t="shared" si="82"/>
        <v>840</v>
      </c>
      <c r="I499" s="17">
        <f t="shared" ref="I499:M510" si="84">(I$151+I$152*$G499+I$153*($G499^2)+I$154*($G499^3)+I$155/($G499^2))/1000</f>
        <v>3.0630216758355346E-2</v>
      </c>
      <c r="J499" s="17">
        <f t="shared" si="84"/>
        <v>3.3303015089146182E-2</v>
      </c>
      <c r="K499" s="17">
        <f t="shared" si="84"/>
        <v>5.5533148077690858E-2</v>
      </c>
      <c r="L499" s="17">
        <f t="shared" si="84"/>
        <v>7.5988895140372673E-2</v>
      </c>
      <c r="M499" s="17">
        <f t="shared" si="84"/>
        <v>4.2683977679293265E-2</v>
      </c>
    </row>
    <row r="500" spans="6:17" x14ac:dyDescent="0.2">
      <c r="F500">
        <v>1114</v>
      </c>
      <c r="G500">
        <f t="shared" si="80"/>
        <v>1.1140000000000001</v>
      </c>
      <c r="H500">
        <f t="shared" si="82"/>
        <v>841</v>
      </c>
      <c r="I500" s="17">
        <f t="shared" si="84"/>
        <v>3.0634229803082027E-2</v>
      </c>
      <c r="J500" s="17">
        <f t="shared" si="84"/>
        <v>3.3308084012435055E-2</v>
      </c>
      <c r="K500" s="17">
        <f t="shared" si="84"/>
        <v>5.554306748939225E-2</v>
      </c>
      <c r="L500" s="17">
        <f t="shared" si="84"/>
        <v>7.6023501411563679E-2</v>
      </c>
      <c r="M500" s="17">
        <f t="shared" si="84"/>
        <v>4.2696392812533464E-2</v>
      </c>
    </row>
    <row r="501" spans="6:17" x14ac:dyDescent="0.2">
      <c r="F501">
        <v>1115</v>
      </c>
      <c r="G501">
        <f t="shared" si="80"/>
        <v>1.115</v>
      </c>
      <c r="H501">
        <f t="shared" si="82"/>
        <v>842</v>
      </c>
      <c r="I501" s="17">
        <f t="shared" si="84"/>
        <v>3.0638246561820116E-2</v>
      </c>
      <c r="J501" s="17">
        <f t="shared" si="84"/>
        <v>3.3313146949786376E-2</v>
      </c>
      <c r="K501" s="17">
        <f t="shared" si="84"/>
        <v>5.5552972113040326E-2</v>
      </c>
      <c r="L501" s="17">
        <f t="shared" si="84"/>
        <v>7.6058064470130957E-2</v>
      </c>
      <c r="M501" s="17">
        <f t="shared" si="84"/>
        <v>4.2708804912187051E-2</v>
      </c>
      <c r="Q501" s="1"/>
    </row>
    <row r="502" spans="6:17" x14ac:dyDescent="0.2">
      <c r="F502">
        <v>1116</v>
      </c>
      <c r="G502">
        <f t="shared" si="80"/>
        <v>1.1160000000000001</v>
      </c>
      <c r="H502">
        <f t="shared" si="82"/>
        <v>843</v>
      </c>
      <c r="I502" s="17">
        <f t="shared" si="84"/>
        <v>3.0642267020145476E-2</v>
      </c>
      <c r="J502" s="17">
        <f t="shared" si="84"/>
        <v>3.3318203902054817E-2</v>
      </c>
      <c r="K502" s="17">
        <f t="shared" si="84"/>
        <v>5.5562861998232613E-2</v>
      </c>
      <c r="L502" s="17">
        <f t="shared" si="84"/>
        <v>7.6092584341780053E-2</v>
      </c>
      <c r="M502" s="17">
        <f t="shared" si="84"/>
        <v>4.272121396190072E-2</v>
      </c>
    </row>
    <row r="503" spans="6:17" x14ac:dyDescent="0.2">
      <c r="F503">
        <v>1117</v>
      </c>
      <c r="G503">
        <f t="shared" si="80"/>
        <v>1.117</v>
      </c>
      <c r="H503">
        <f t="shared" si="82"/>
        <v>844</v>
      </c>
      <c r="I503" s="17">
        <f t="shared" si="84"/>
        <v>3.0646291163624068E-2</v>
      </c>
      <c r="J503" s="17">
        <f t="shared" si="84"/>
        <v>3.3323254870127939E-2</v>
      </c>
      <c r="K503" s="17">
        <f t="shared" si="84"/>
        <v>5.5572737194557999E-2</v>
      </c>
      <c r="L503" s="17">
        <f t="shared" si="84"/>
        <v>7.6127061052258943E-2</v>
      </c>
      <c r="M503" s="17">
        <f t="shared" si="84"/>
        <v>4.2733619945326262E-2</v>
      </c>
      <c r="Q503" s="1"/>
    </row>
    <row r="504" spans="6:17" x14ac:dyDescent="0.2">
      <c r="F504">
        <v>1118</v>
      </c>
      <c r="G504">
        <f t="shared" si="80"/>
        <v>1.1180000000000001</v>
      </c>
      <c r="H504">
        <f t="shared" si="82"/>
        <v>845</v>
      </c>
      <c r="I504" s="17">
        <f t="shared" si="84"/>
        <v>3.065031897781198E-2</v>
      </c>
      <c r="J504" s="17">
        <f t="shared" si="84"/>
        <v>3.3328299854926101E-2</v>
      </c>
      <c r="K504" s="17">
        <f t="shared" si="84"/>
        <v>5.5582597751596963E-2</v>
      </c>
      <c r="L504" s="17">
        <f t="shared" si="84"/>
        <v>7.6161494627357676E-2</v>
      </c>
      <c r="M504" s="17">
        <f t="shared" si="84"/>
        <v>4.2746022846120522E-2</v>
      </c>
    </row>
    <row r="505" spans="6:17" x14ac:dyDescent="0.2">
      <c r="F505">
        <v>1119</v>
      </c>
      <c r="G505">
        <f t="shared" si="80"/>
        <v>1.119</v>
      </c>
      <c r="H505">
        <f t="shared" si="82"/>
        <v>846</v>
      </c>
      <c r="I505" s="17">
        <f t="shared" si="84"/>
        <v>3.065435044825553E-2</v>
      </c>
      <c r="J505" s="17">
        <f t="shared" si="84"/>
        <v>3.3333338857402257E-2</v>
      </c>
      <c r="K505" s="17">
        <f t="shared" si="84"/>
        <v>5.5592443718921476E-2</v>
      </c>
      <c r="L505" s="17">
        <f t="shared" si="84"/>
        <v>7.6195885092908255E-2</v>
      </c>
      <c r="M505" s="17">
        <f t="shared" si="84"/>
        <v>4.2758422647945493E-2</v>
      </c>
      <c r="Q505" s="1"/>
    </row>
    <row r="506" spans="6:17" x14ac:dyDescent="0.2">
      <c r="F506">
        <v>1120</v>
      </c>
      <c r="G506">
        <f t="shared" si="80"/>
        <v>1.1200000000000001</v>
      </c>
      <c r="H506">
        <f t="shared" si="82"/>
        <v>847</v>
      </c>
      <c r="I506" s="17">
        <f t="shared" si="84"/>
        <v>3.0658385560491264E-2</v>
      </c>
      <c r="J506" s="17">
        <f t="shared" si="84"/>
        <v>3.3338371878541793E-2</v>
      </c>
      <c r="K506" s="17">
        <f t="shared" si="84"/>
        <v>5.5602275146095191E-2</v>
      </c>
      <c r="L506" s="17">
        <f t="shared" si="84"/>
        <v>7.6230232474784415E-2</v>
      </c>
      <c r="M506" s="17">
        <f t="shared" si="84"/>
        <v>4.277081933446817E-2</v>
      </c>
    </row>
    <row r="507" spans="6:17" x14ac:dyDescent="0.2">
      <c r="F507">
        <v>1121</v>
      </c>
      <c r="G507">
        <f t="shared" si="80"/>
        <v>1.121</v>
      </c>
      <c r="H507">
        <f t="shared" si="82"/>
        <v>848</v>
      </c>
      <c r="I507" s="17">
        <f t="shared" si="84"/>
        <v>3.0662424300046068E-2</v>
      </c>
      <c r="J507" s="17">
        <f t="shared" si="84"/>
        <v>3.3343398919362319E-2</v>
      </c>
      <c r="K507" s="17">
        <f t="shared" si="84"/>
        <v>5.5612092082673314E-2</v>
      </c>
      <c r="L507" s="17">
        <f t="shared" si="84"/>
        <v>7.62645367989013E-2</v>
      </c>
      <c r="M507" s="17">
        <f t="shared" si="84"/>
        <v>4.2783212889360572E-2</v>
      </c>
      <c r="Q507" s="1"/>
    </row>
    <row r="508" spans="6:17" x14ac:dyDescent="0.2">
      <c r="F508">
        <v>1122</v>
      </c>
      <c r="G508">
        <f t="shared" si="80"/>
        <v>1.1220000000000001</v>
      </c>
      <c r="H508">
        <f t="shared" si="82"/>
        <v>849</v>
      </c>
      <c r="I508" s="17">
        <f t="shared" si="84"/>
        <v>3.0666466652437174E-2</v>
      </c>
      <c r="J508" s="17">
        <f t="shared" si="84"/>
        <v>3.3348419980913542E-2</v>
      </c>
      <c r="K508" s="17">
        <f t="shared" si="84"/>
        <v>5.5621894578202831E-2</v>
      </c>
      <c r="L508" s="17">
        <f t="shared" si="84"/>
        <v>7.6298798091215411E-2</v>
      </c>
      <c r="M508" s="17">
        <f t="shared" si="84"/>
        <v>4.2795603296299722E-2</v>
      </c>
    </row>
    <row r="509" spans="6:17" x14ac:dyDescent="0.2">
      <c r="F509">
        <v>1123</v>
      </c>
      <c r="G509">
        <f t="shared" si="80"/>
        <v>1.123</v>
      </c>
      <c r="H509">
        <f t="shared" si="82"/>
        <v>850</v>
      </c>
      <c r="I509" s="17">
        <f t="shared" si="84"/>
        <v>3.0670512603172207E-2</v>
      </c>
      <c r="J509" s="17">
        <f t="shared" si="84"/>
        <v>3.3353435064277057E-2</v>
      </c>
      <c r="K509" s="17">
        <f t="shared" si="84"/>
        <v>5.5631682682222419E-2</v>
      </c>
      <c r="L509" s="17">
        <f t="shared" si="84"/>
        <v>7.6333016377724133E-2</v>
      </c>
      <c r="M509" s="17">
        <f t="shared" si="84"/>
        <v>4.2807990538967625E-2</v>
      </c>
      <c r="Q509" s="1"/>
    </row>
    <row r="510" spans="6:17" x14ac:dyDescent="0.2">
      <c r="F510">
        <v>1124</v>
      </c>
      <c r="G510">
        <f t="shared" si="80"/>
        <v>1.1240000000000001</v>
      </c>
      <c r="H510">
        <f t="shared" si="82"/>
        <v>851</v>
      </c>
      <c r="I510" s="17">
        <f t="shared" si="84"/>
        <v>3.067456213774928E-2</v>
      </c>
      <c r="J510" s="17">
        <f t="shared" si="84"/>
        <v>3.3358444170566222E-2</v>
      </c>
      <c r="K510" s="17">
        <f t="shared" si="84"/>
        <v>5.5641456444262542E-2</v>
      </c>
      <c r="L510" s="17">
        <f t="shared" si="84"/>
        <v>7.6367191684465818E-2</v>
      </c>
      <c r="M510" s="17">
        <f t="shared" si="84"/>
        <v>4.2820374601051203E-2</v>
      </c>
    </row>
    <row r="511" spans="6:17" x14ac:dyDescent="0.2">
      <c r="Q511" s="1"/>
    </row>
    <row r="513" spans="17:17" x14ac:dyDescent="0.2">
      <c r="Q513" s="1"/>
    </row>
    <row r="515" spans="17:17" x14ac:dyDescent="0.2">
      <c r="Q515" s="1"/>
    </row>
    <row r="517" spans="17:17" x14ac:dyDescent="0.2">
      <c r="Q517" s="1"/>
    </row>
    <row r="519" spans="17:17" x14ac:dyDescent="0.2">
      <c r="Q519" s="1"/>
    </row>
    <row r="521" spans="17:17" x14ac:dyDescent="0.2">
      <c r="Q521" s="1"/>
    </row>
    <row r="523" spans="17:17" x14ac:dyDescent="0.2">
      <c r="Q523" s="1"/>
    </row>
    <row r="525" spans="17:17" x14ac:dyDescent="0.2">
      <c r="Q525" s="1"/>
    </row>
    <row r="527" spans="17:17" x14ac:dyDescent="0.2">
      <c r="Q527" s="1"/>
    </row>
    <row r="529" spans="17:17" x14ac:dyDescent="0.2">
      <c r="Q529" s="1"/>
    </row>
    <row r="531" spans="17:17" x14ac:dyDescent="0.2">
      <c r="Q531" s="1"/>
    </row>
    <row r="533" spans="17:17" x14ac:dyDescent="0.2">
      <c r="Q533" s="1"/>
    </row>
    <row r="535" spans="17:17" x14ac:dyDescent="0.2">
      <c r="Q535" s="1"/>
    </row>
    <row r="537" spans="17:17" x14ac:dyDescent="0.2">
      <c r="Q537" s="1"/>
    </row>
    <row r="539" spans="17:17" x14ac:dyDescent="0.2">
      <c r="Q539" s="1"/>
    </row>
    <row r="541" spans="17:17" x14ac:dyDescent="0.2">
      <c r="Q541" s="1"/>
    </row>
    <row r="543" spans="17:17" x14ac:dyDescent="0.2">
      <c r="Q543" s="1"/>
    </row>
    <row r="545" spans="17:17" x14ac:dyDescent="0.2">
      <c r="Q545" s="1"/>
    </row>
    <row r="547" spans="17:17" x14ac:dyDescent="0.2">
      <c r="Q547" s="1"/>
    </row>
    <row r="549" spans="17:17" x14ac:dyDescent="0.2">
      <c r="Q549" s="1"/>
    </row>
    <row r="551" spans="17:17" x14ac:dyDescent="0.2">
      <c r="Q551" s="1"/>
    </row>
    <row r="553" spans="17:17" x14ac:dyDescent="0.2">
      <c r="Q553" s="1"/>
    </row>
    <row r="555" spans="17:17" x14ac:dyDescent="0.2">
      <c r="Q555" s="1"/>
    </row>
    <row r="557" spans="17:17" x14ac:dyDescent="0.2">
      <c r="Q557" s="1"/>
    </row>
    <row r="559" spans="17:17" x14ac:dyDescent="0.2">
      <c r="Q559" s="1"/>
    </row>
    <row r="561" spans="17:17" x14ac:dyDescent="0.2">
      <c r="Q561" s="1"/>
    </row>
    <row r="563" spans="17:17" x14ac:dyDescent="0.2">
      <c r="Q563" s="1"/>
    </row>
  </sheetData>
  <hyperlinks>
    <hyperlink ref="AF53" r:id="rId1" xr:uid="{324B961F-6D6D-C64B-AE61-F8F2ED03B49E}"/>
    <hyperlink ref="AE53" r:id="rId2" xr:uid="{AB232E56-B9CD-634F-9055-27D636E3DD42}"/>
  </hyperlinks>
  <pageMargins left="0.7" right="0.7" top="0.75" bottom="0.75" header="0.3" footer="0.3"/>
  <pageSetup paperSize="9" orientation="portrait" horizontalDpi="0" verticalDpi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661-B4D5-794B-8E62-8CC3E258AE17}">
  <sheetPr>
    <tabColor rgb="FFFF0000"/>
  </sheetPr>
  <dimension ref="A10:AI546"/>
  <sheetViews>
    <sheetView topLeftCell="D58" workbookViewId="0">
      <selection activeCell="V99" sqref="V99"/>
    </sheetView>
  </sheetViews>
  <sheetFormatPr baseColWidth="10" defaultRowHeight="16" x14ac:dyDescent="0.2"/>
  <sheetData>
    <row r="10" spans="2:25" x14ac:dyDescent="0.2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</row>
    <row r="11" spans="2:25" x14ac:dyDescent="0.2">
      <c r="B11" t="s">
        <v>7</v>
      </c>
      <c r="C11">
        <v>0</v>
      </c>
      <c r="D11">
        <v>4.8</v>
      </c>
      <c r="E11">
        <v>1.1000000000000001</v>
      </c>
      <c r="F11">
        <v>51.9</v>
      </c>
      <c r="G11">
        <v>74.599999999999994</v>
      </c>
      <c r="H11">
        <v>99.99</v>
      </c>
      <c r="Q11" t="s">
        <v>25</v>
      </c>
      <c r="R11">
        <v>4700</v>
      </c>
      <c r="S11" t="s">
        <v>20</v>
      </c>
    </row>
    <row r="12" spans="2:25" x14ac:dyDescent="0.2">
      <c r="B12" t="s">
        <v>8</v>
      </c>
      <c r="C12">
        <v>1</v>
      </c>
      <c r="D12">
        <v>1</v>
      </c>
      <c r="E12">
        <v>0.3</v>
      </c>
      <c r="F12">
        <v>0.2</v>
      </c>
      <c r="G12">
        <v>0.25</v>
      </c>
      <c r="H12">
        <v>0.01</v>
      </c>
      <c r="R12">
        <v>3</v>
      </c>
      <c r="S12" t="s">
        <v>21</v>
      </c>
    </row>
    <row r="13" spans="2:25" x14ac:dyDescent="0.2">
      <c r="B13" t="s">
        <v>9</v>
      </c>
      <c r="C13">
        <v>0</v>
      </c>
      <c r="D13">
        <v>0</v>
      </c>
      <c r="E13">
        <v>0</v>
      </c>
      <c r="F13">
        <v>10.7</v>
      </c>
      <c r="G13">
        <v>5.3</v>
      </c>
      <c r="H13">
        <v>0</v>
      </c>
      <c r="R13">
        <v>255</v>
      </c>
      <c r="S13" t="s">
        <v>22</v>
      </c>
      <c r="U13" t="s">
        <v>24</v>
      </c>
    </row>
    <row r="14" spans="2:25" x14ac:dyDescent="0.2">
      <c r="B14" t="s">
        <v>10</v>
      </c>
      <c r="C14">
        <v>0.5</v>
      </c>
      <c r="D14">
        <v>0.5</v>
      </c>
      <c r="E14">
        <v>0.1</v>
      </c>
      <c r="F14">
        <v>5.0999999999999996</v>
      </c>
      <c r="G14">
        <v>14.8</v>
      </c>
      <c r="H14">
        <v>0</v>
      </c>
      <c r="W14" t="s">
        <v>122</v>
      </c>
      <c r="X14" t="s">
        <v>123</v>
      </c>
      <c r="Y14" t="s">
        <v>124</v>
      </c>
    </row>
    <row r="15" spans="2:25" x14ac:dyDescent="0.2">
      <c r="B15" t="s">
        <v>11</v>
      </c>
      <c r="C15">
        <v>95</v>
      </c>
      <c r="D15">
        <v>90.4</v>
      </c>
      <c r="E15">
        <v>26.1</v>
      </c>
      <c r="F15">
        <v>3.8</v>
      </c>
      <c r="G15">
        <v>4.9000000000000004</v>
      </c>
      <c r="H15">
        <v>0</v>
      </c>
      <c r="U15" t="s">
        <v>119</v>
      </c>
      <c r="V15" t="s">
        <v>120</v>
      </c>
      <c r="W15" s="6">
        <v>0.01</v>
      </c>
      <c r="X15" s="6">
        <v>0.05</v>
      </c>
      <c r="Y15" s="18">
        <f>AVERAGE(W15:X15)</f>
        <v>3.0000000000000002E-2</v>
      </c>
    </row>
    <row r="16" spans="2:25" x14ac:dyDescent="0.2">
      <c r="B16" t="s">
        <v>12</v>
      </c>
      <c r="C16">
        <v>3.5</v>
      </c>
      <c r="D16">
        <v>3.3</v>
      </c>
      <c r="E16">
        <v>1</v>
      </c>
      <c r="F16">
        <v>0</v>
      </c>
      <c r="G16">
        <v>0</v>
      </c>
      <c r="H16">
        <v>0</v>
      </c>
      <c r="V16" t="s">
        <v>121</v>
      </c>
      <c r="W16" s="6">
        <v>0.06</v>
      </c>
      <c r="X16" s="6">
        <v>0.1</v>
      </c>
      <c r="Y16" s="18">
        <f>AVERAGE(W16:X16)</f>
        <v>0.08</v>
      </c>
    </row>
    <row r="17" spans="2:35" x14ac:dyDescent="0.2">
      <c r="B17" t="s">
        <v>13</v>
      </c>
      <c r="C17">
        <v>0</v>
      </c>
      <c r="D17">
        <v>0</v>
      </c>
      <c r="E17">
        <v>71.400000000000006</v>
      </c>
      <c r="F17">
        <v>28.3</v>
      </c>
      <c r="G17">
        <v>0.15</v>
      </c>
      <c r="H17">
        <v>0</v>
      </c>
      <c r="W17" t="s">
        <v>126</v>
      </c>
      <c r="X17" t="s">
        <v>126</v>
      </c>
    </row>
    <row r="18" spans="2:35" x14ac:dyDescent="0.2">
      <c r="B18" t="s">
        <v>14</v>
      </c>
      <c r="C18">
        <v>2160</v>
      </c>
      <c r="D18">
        <v>2070</v>
      </c>
      <c r="E18">
        <v>7160</v>
      </c>
      <c r="F18">
        <v>10450</v>
      </c>
      <c r="G18">
        <v>8180</v>
      </c>
      <c r="H18">
        <v>5000.5</v>
      </c>
      <c r="P18" t="s">
        <v>23</v>
      </c>
    </row>
    <row r="19" spans="2:35" x14ac:dyDescent="0.2">
      <c r="B19" t="s">
        <v>15</v>
      </c>
      <c r="C19">
        <v>20</v>
      </c>
      <c r="D19">
        <v>390</v>
      </c>
      <c r="E19">
        <v>520</v>
      </c>
      <c r="F19">
        <v>850</v>
      </c>
      <c r="G19">
        <v>20</v>
      </c>
      <c r="H19">
        <v>20</v>
      </c>
      <c r="X19" t="s">
        <v>19</v>
      </c>
    </row>
    <row r="20" spans="2:35" x14ac:dyDescent="0.2">
      <c r="B20" t="s">
        <v>16</v>
      </c>
      <c r="C20">
        <v>2</v>
      </c>
      <c r="D20">
        <v>1.9</v>
      </c>
      <c r="E20">
        <v>1.9</v>
      </c>
      <c r="F20">
        <v>1.7</v>
      </c>
      <c r="G20">
        <v>1.6</v>
      </c>
      <c r="H20">
        <v>1.5</v>
      </c>
    </row>
    <row r="26" spans="2:35" x14ac:dyDescent="0.2">
      <c r="H26" t="s">
        <v>0</v>
      </c>
      <c r="I26" t="s">
        <v>1</v>
      </c>
      <c r="L26" t="s">
        <v>0</v>
      </c>
      <c r="M26" t="s">
        <v>2</v>
      </c>
      <c r="R26" t="s">
        <v>0</v>
      </c>
      <c r="S26" t="s">
        <v>3</v>
      </c>
      <c r="V26" t="s">
        <v>0</v>
      </c>
      <c r="W26" t="s">
        <v>4</v>
      </c>
      <c r="AD26" t="s">
        <v>0</v>
      </c>
      <c r="AE26" t="s">
        <v>5</v>
      </c>
      <c r="AH26" t="s">
        <v>0</v>
      </c>
      <c r="AI26" t="s">
        <v>6</v>
      </c>
    </row>
    <row r="27" spans="2:35" x14ac:dyDescent="0.2">
      <c r="H27" t="s">
        <v>7</v>
      </c>
      <c r="I27" s="1">
        <v>0</v>
      </c>
      <c r="L27" t="s">
        <v>7</v>
      </c>
      <c r="M27" s="1">
        <v>4.8</v>
      </c>
      <c r="R27" t="s">
        <v>7</v>
      </c>
      <c r="S27" s="1">
        <v>1.1000000000000001</v>
      </c>
      <c r="V27" t="s">
        <v>7</v>
      </c>
      <c r="W27" s="1">
        <v>51.9</v>
      </c>
      <c r="AD27" t="s">
        <v>7</v>
      </c>
      <c r="AE27" s="1">
        <v>74.599999999999994</v>
      </c>
      <c r="AH27" t="s">
        <v>7</v>
      </c>
      <c r="AI27" s="1">
        <v>99.99</v>
      </c>
    </row>
    <row r="28" spans="2:35" x14ac:dyDescent="0.2">
      <c r="H28" t="s">
        <v>8</v>
      </c>
      <c r="I28" s="1">
        <v>1</v>
      </c>
      <c r="L28" t="s">
        <v>8</v>
      </c>
      <c r="M28" s="1">
        <v>1</v>
      </c>
      <c r="R28" t="s">
        <v>8</v>
      </c>
      <c r="S28" s="1">
        <v>0.3</v>
      </c>
      <c r="V28" t="s">
        <v>8</v>
      </c>
      <c r="W28" s="1">
        <v>0.2</v>
      </c>
      <c r="AD28" t="s">
        <v>8</v>
      </c>
      <c r="AE28" s="1">
        <v>0.25</v>
      </c>
      <c r="AH28" t="s">
        <v>8</v>
      </c>
      <c r="AI28" s="1">
        <v>0.01</v>
      </c>
    </row>
    <row r="29" spans="2:35" x14ac:dyDescent="0.2">
      <c r="H29" t="s">
        <v>9</v>
      </c>
      <c r="I29" s="1">
        <v>0</v>
      </c>
      <c r="L29" t="s">
        <v>9</v>
      </c>
      <c r="M29" s="1">
        <v>0</v>
      </c>
      <c r="R29" t="s">
        <v>9</v>
      </c>
      <c r="S29" s="1">
        <v>0</v>
      </c>
      <c r="V29" t="s">
        <v>9</v>
      </c>
      <c r="W29" s="1">
        <v>10.7</v>
      </c>
      <c r="AD29" t="s">
        <v>9</v>
      </c>
      <c r="AE29" s="1">
        <v>5.3</v>
      </c>
      <c r="AH29" t="s">
        <v>9</v>
      </c>
      <c r="AI29" s="1">
        <v>0</v>
      </c>
    </row>
    <row r="30" spans="2:35" x14ac:dyDescent="0.2">
      <c r="H30" t="s">
        <v>10</v>
      </c>
      <c r="I30" s="1">
        <v>0.5</v>
      </c>
      <c r="L30" t="s">
        <v>10</v>
      </c>
      <c r="M30" s="1">
        <v>0.5</v>
      </c>
      <c r="R30" t="s">
        <v>10</v>
      </c>
      <c r="S30" s="1">
        <v>0.1</v>
      </c>
      <c r="V30" t="s">
        <v>10</v>
      </c>
      <c r="W30" s="1">
        <v>5.0999999999999996</v>
      </c>
      <c r="AD30" t="s">
        <v>10</v>
      </c>
      <c r="AE30" s="1">
        <v>14.8</v>
      </c>
      <c r="AH30" t="s">
        <v>10</v>
      </c>
      <c r="AI30" s="1">
        <v>0</v>
      </c>
    </row>
    <row r="31" spans="2:35" x14ac:dyDescent="0.2">
      <c r="H31" t="s">
        <v>11</v>
      </c>
      <c r="I31" s="1">
        <v>95</v>
      </c>
      <c r="L31" t="s">
        <v>11</v>
      </c>
      <c r="M31" s="1">
        <v>90.4</v>
      </c>
      <c r="R31" t="s">
        <v>11</v>
      </c>
      <c r="S31" s="1">
        <v>26.1</v>
      </c>
      <c r="V31" t="s">
        <v>11</v>
      </c>
      <c r="W31" s="1">
        <v>3.8</v>
      </c>
      <c r="AD31" t="s">
        <v>11</v>
      </c>
      <c r="AE31" s="1">
        <v>4.9000000000000004</v>
      </c>
      <c r="AH31" t="s">
        <v>11</v>
      </c>
      <c r="AI31" s="1">
        <v>0</v>
      </c>
    </row>
    <row r="32" spans="2:35" x14ac:dyDescent="0.2">
      <c r="H32" t="s">
        <v>12</v>
      </c>
      <c r="I32" s="1">
        <v>3.5</v>
      </c>
      <c r="L32" t="s">
        <v>12</v>
      </c>
      <c r="M32" s="1">
        <v>3.3</v>
      </c>
      <c r="R32" t="s">
        <v>12</v>
      </c>
      <c r="S32" s="1">
        <v>1</v>
      </c>
      <c r="V32" t="s">
        <v>12</v>
      </c>
      <c r="W32" s="1">
        <v>0</v>
      </c>
      <c r="AD32" t="s">
        <v>12</v>
      </c>
      <c r="AE32" s="1">
        <v>0</v>
      </c>
      <c r="AH32" t="s">
        <v>12</v>
      </c>
      <c r="AI32" s="1">
        <v>0</v>
      </c>
    </row>
    <row r="33" spans="8:35" x14ac:dyDescent="0.2">
      <c r="H33" t="s">
        <v>13</v>
      </c>
      <c r="I33" s="1">
        <v>0</v>
      </c>
      <c r="L33" t="s">
        <v>13</v>
      </c>
      <c r="M33" s="1">
        <v>0</v>
      </c>
      <c r="R33" t="s">
        <v>13</v>
      </c>
      <c r="S33" s="1">
        <v>71.400000000000006</v>
      </c>
      <c r="V33" t="s">
        <v>13</v>
      </c>
      <c r="W33" s="1">
        <v>28.3</v>
      </c>
      <c r="AD33" t="s">
        <v>13</v>
      </c>
      <c r="AE33" s="1">
        <v>0.15</v>
      </c>
      <c r="AH33" t="s">
        <v>13</v>
      </c>
      <c r="AI33" s="1">
        <v>0</v>
      </c>
    </row>
    <row r="34" spans="8:35" x14ac:dyDescent="0.2">
      <c r="H34" t="s">
        <v>14</v>
      </c>
      <c r="I34" s="1">
        <v>2160</v>
      </c>
      <c r="L34" t="s">
        <v>14</v>
      </c>
      <c r="M34" s="1">
        <v>2070</v>
      </c>
      <c r="R34" t="s">
        <v>14</v>
      </c>
      <c r="S34" s="1">
        <v>7160</v>
      </c>
      <c r="T34">
        <f>O49</f>
        <v>288992.61050738383</v>
      </c>
      <c r="V34" t="s">
        <v>14</v>
      </c>
      <c r="W34" s="1">
        <v>10450</v>
      </c>
      <c r="X34">
        <f>($K$49)*($W$34*1000)/($N$39*$L$49)</f>
        <v>421783.90779359784</v>
      </c>
      <c r="AD34" t="s">
        <v>14</v>
      </c>
      <c r="AE34" s="1">
        <v>8180</v>
      </c>
      <c r="AH34" t="s">
        <v>14</v>
      </c>
      <c r="AI34" s="1">
        <v>5000.5</v>
      </c>
    </row>
    <row r="35" spans="8:35" x14ac:dyDescent="0.2">
      <c r="H35" t="s">
        <v>15</v>
      </c>
      <c r="I35" s="1">
        <v>20</v>
      </c>
      <c r="L35" t="s">
        <v>15</v>
      </c>
      <c r="M35" s="1">
        <v>390</v>
      </c>
      <c r="R35" t="s">
        <v>15</v>
      </c>
      <c r="S35" s="1">
        <v>520</v>
      </c>
      <c r="V35" t="s">
        <v>15</v>
      </c>
      <c r="W35" s="1">
        <v>850</v>
      </c>
      <c r="AD35" t="s">
        <v>15</v>
      </c>
      <c r="AE35" s="1">
        <v>20</v>
      </c>
      <c r="AH35" t="s">
        <v>15</v>
      </c>
      <c r="AI35" s="1">
        <v>20</v>
      </c>
    </row>
    <row r="36" spans="8:35" x14ac:dyDescent="0.2">
      <c r="H36" t="s">
        <v>16</v>
      </c>
      <c r="I36" s="1">
        <v>2</v>
      </c>
      <c r="L36" t="s">
        <v>16</v>
      </c>
      <c r="M36" s="1">
        <v>1.9</v>
      </c>
      <c r="R36" t="s">
        <v>16</v>
      </c>
      <c r="S36" s="1">
        <v>1.9</v>
      </c>
      <c r="V36" t="s">
        <v>16</v>
      </c>
      <c r="W36" s="1">
        <v>1.7</v>
      </c>
      <c r="AD36" t="s">
        <v>16</v>
      </c>
      <c r="AE36" s="1">
        <v>1.6</v>
      </c>
      <c r="AH36" t="s">
        <v>16</v>
      </c>
      <c r="AI36" s="1">
        <v>1.5</v>
      </c>
    </row>
    <row r="37" spans="8:35" x14ac:dyDescent="0.2">
      <c r="N37" s="2" t="s">
        <v>27</v>
      </c>
      <c r="AA37" s="2" t="s">
        <v>27</v>
      </c>
    </row>
    <row r="38" spans="8:35" x14ac:dyDescent="0.2">
      <c r="N38" t="s">
        <v>29</v>
      </c>
      <c r="AA38" t="s">
        <v>29</v>
      </c>
      <c r="AD38" t="s">
        <v>34</v>
      </c>
    </row>
    <row r="39" spans="8:35" x14ac:dyDescent="0.2">
      <c r="M39" s="3" t="s">
        <v>30</v>
      </c>
      <c r="N39">
        <v>8.3140000000000006E-2</v>
      </c>
      <c r="O39" t="s">
        <v>31</v>
      </c>
      <c r="Z39" s="3" t="s">
        <v>30</v>
      </c>
      <c r="AA39">
        <v>8.3140000000000006E-2</v>
      </c>
      <c r="AB39" t="s">
        <v>31</v>
      </c>
      <c r="AD39" s="2">
        <v>230</v>
      </c>
      <c r="AE39" t="s">
        <v>35</v>
      </c>
    </row>
    <row r="41" spans="8:35" x14ac:dyDescent="0.2">
      <c r="M41" t="s">
        <v>0</v>
      </c>
      <c r="N41" t="s">
        <v>3</v>
      </c>
      <c r="O41" t="s">
        <v>28</v>
      </c>
      <c r="P41" t="s">
        <v>36</v>
      </c>
      <c r="Q41" t="s">
        <v>46</v>
      </c>
      <c r="S41" t="s">
        <v>114</v>
      </c>
      <c r="T41" t="s">
        <v>125</v>
      </c>
      <c r="Y41" t="s">
        <v>0</v>
      </c>
      <c r="Z41" t="s">
        <v>26</v>
      </c>
      <c r="AA41" t="s">
        <v>28</v>
      </c>
      <c r="AB41" t="s">
        <v>41</v>
      </c>
      <c r="AC41" t="s">
        <v>42</v>
      </c>
      <c r="AD41" t="s">
        <v>39</v>
      </c>
      <c r="AE41" t="s">
        <v>38</v>
      </c>
    </row>
    <row r="42" spans="8:35" x14ac:dyDescent="0.2">
      <c r="M42" t="s">
        <v>7</v>
      </c>
      <c r="N42" s="1">
        <v>1.1000000000000001</v>
      </c>
      <c r="O42">
        <f>($K$49)*($N$49*N42/100*1000)/($N$39*$L$49)</f>
        <v>3178.9187155812219</v>
      </c>
      <c r="P42" t="s">
        <v>45</v>
      </c>
      <c r="Q42" s="5">
        <f>O42*SUM(F100:F430)</f>
        <v>20051.823423654412</v>
      </c>
      <c r="R42" s="17" t="s">
        <v>77</v>
      </c>
      <c r="S42" s="5">
        <f>T93*W104</f>
        <v>9891716.8406127021</v>
      </c>
      <c r="Y42" t="s">
        <v>7</v>
      </c>
      <c r="Z42">
        <f t="shared" ref="Z42:Z48" si="0">($AE$34*AE27/100-$AI$34*AI27/100-$W$80*W70/100)/$Z$49*100</f>
        <v>32.560964293212955</v>
      </c>
      <c r="AA42">
        <f>($W$49)*($Z$49*Z42/100*1000)/($AA$39*$X$49)</f>
        <v>40479.955779287098</v>
      </c>
      <c r="AC42" s="1"/>
      <c r="AD42" s="1">
        <v>244</v>
      </c>
      <c r="AE42">
        <f>AD42*AA42*-1</f>
        <v>-9877109.2101460528</v>
      </c>
    </row>
    <row r="43" spans="8:35" x14ac:dyDescent="0.2">
      <c r="M43" t="s">
        <v>8</v>
      </c>
      <c r="N43" s="1">
        <v>0.3</v>
      </c>
      <c r="O43">
        <f t="shared" ref="O43:O47" si="1">($K$49)*($N$49*N43/100*1000)/($N$39*$L$49)</f>
        <v>866.9778315221514</v>
      </c>
      <c r="P43" t="s">
        <v>45</v>
      </c>
      <c r="Q43" s="5">
        <f>O43*SUM(G100:G430)</f>
        <v>9303.7101897246466</v>
      </c>
      <c r="R43" s="17" t="s">
        <v>79</v>
      </c>
      <c r="S43" s="5">
        <f>T90*W109</f>
        <v>-6610180.3943729559</v>
      </c>
      <c r="Y43" t="s">
        <v>8</v>
      </c>
      <c r="Z43">
        <f t="shared" si="0"/>
        <v>0.64737568214371344</v>
      </c>
      <c r="AA43">
        <f>($W$49)*($Z$49*Z43/100*1000)/($AA$39*$X$49)</f>
        <v>804.8207279667605</v>
      </c>
      <c r="AC43" s="1"/>
      <c r="AD43" s="1"/>
      <c r="AE43" s="2" t="s">
        <v>37</v>
      </c>
    </row>
    <row r="44" spans="8:35" x14ac:dyDescent="0.2">
      <c r="M44" t="s">
        <v>9</v>
      </c>
      <c r="N44" s="1">
        <v>0</v>
      </c>
      <c r="O44">
        <f t="shared" si="1"/>
        <v>0</v>
      </c>
      <c r="Q44">
        <v>0</v>
      </c>
      <c r="R44" s="17" t="s">
        <v>82</v>
      </c>
      <c r="S44" t="s">
        <v>111</v>
      </c>
      <c r="Y44" t="s">
        <v>9</v>
      </c>
      <c r="Z44">
        <f t="shared" si="0"/>
        <v>14.075379647340339</v>
      </c>
      <c r="AA44">
        <f>($W$49)*($Z$49*Z44/100*1000)/($AA$39*$X$49)</f>
        <v>17498.583290414968</v>
      </c>
      <c r="AC44" s="1"/>
      <c r="AD44" s="1">
        <v>283.24</v>
      </c>
      <c r="AE44" s="5">
        <f>AD44*AA44*-1</f>
        <v>-4956298.7311771354</v>
      </c>
    </row>
    <row r="45" spans="8:35" x14ac:dyDescent="0.2">
      <c r="M45" t="s">
        <v>10</v>
      </c>
      <c r="N45" s="1">
        <v>0.1</v>
      </c>
      <c r="O45">
        <f t="shared" si="1"/>
        <v>288.9926105073838</v>
      </c>
      <c r="P45" t="s">
        <v>45</v>
      </c>
      <c r="Q45" s="9">
        <f>O45*SUM(H100:H430)</f>
        <v>5134.9963471787096</v>
      </c>
      <c r="R45" s="17" t="s">
        <v>83</v>
      </c>
      <c r="S45" s="5">
        <f>T92*W118</f>
        <v>14393.650257623205</v>
      </c>
      <c r="Y45" t="s">
        <v>10</v>
      </c>
      <c r="Z45">
        <f t="shared" si="0"/>
        <v>39.304833732195668</v>
      </c>
      <c r="AA45">
        <f>($W$49)*($Z$49*Z45/100*1000)/($AA$39*$X$49)</f>
        <v>48863.968433611612</v>
      </c>
      <c r="AB45" s="17">
        <f>H80</f>
        <v>3.7122831621349162E-2</v>
      </c>
      <c r="AC45" s="1"/>
      <c r="AD45" s="1"/>
      <c r="AE45" s="9">
        <f>AA45*AB45*AD39</f>
        <v>417212.84067773342</v>
      </c>
    </row>
    <row r="46" spans="8:35" x14ac:dyDescent="0.2">
      <c r="M46" t="s">
        <v>11</v>
      </c>
      <c r="N46" s="1">
        <v>26.1</v>
      </c>
      <c r="O46">
        <f t="shared" si="1"/>
        <v>75427.071342427167</v>
      </c>
      <c r="P46" t="s">
        <v>45</v>
      </c>
      <c r="Q46" s="5">
        <f>O46*SUM(D100:D430)</f>
        <v>1744545.7733584519</v>
      </c>
      <c r="R46" s="1"/>
      <c r="Y46" t="s">
        <v>11</v>
      </c>
      <c r="Z46">
        <f t="shared" si="0"/>
        <v>13.013086843767482</v>
      </c>
      <c r="AA46">
        <f t="shared" ref="AA46:AA48" si="2">($W$49)*($Z$49*Z46/100*1000)/($AA$39*$X$49)</f>
        <v>16177.93549491195</v>
      </c>
      <c r="AC46" s="1"/>
      <c r="AD46" s="1">
        <v>802.34</v>
      </c>
      <c r="AE46">
        <f>AD46*AA46*-1</f>
        <v>-12980204.764987655</v>
      </c>
    </row>
    <row r="47" spans="8:35" x14ac:dyDescent="0.2">
      <c r="M47" t="s">
        <v>12</v>
      </c>
      <c r="N47" s="1">
        <v>1</v>
      </c>
      <c r="O47">
        <f t="shared" si="1"/>
        <v>2889.9261050738382</v>
      </c>
      <c r="P47" s="2" t="s">
        <v>58</v>
      </c>
      <c r="Q47" s="5">
        <f>O47*SUM(F100:F430)</f>
        <v>18228.930385140375</v>
      </c>
      <c r="R47" s="1"/>
      <c r="Y47" t="s">
        <v>12</v>
      </c>
      <c r="Z47">
        <f t="shared" si="0"/>
        <v>0</v>
      </c>
      <c r="AA47">
        <f t="shared" si="2"/>
        <v>0</v>
      </c>
      <c r="AC47" s="1"/>
      <c r="AD47" s="1"/>
    </row>
    <row r="48" spans="8:35" x14ac:dyDescent="0.2">
      <c r="M48" t="s">
        <v>13</v>
      </c>
      <c r="N48" s="1">
        <v>71.400000000000006</v>
      </c>
      <c r="O48">
        <f>($K$49)*($N$49*N48/100*1000)/($N$39*$L$49)</f>
        <v>206340.72390227206</v>
      </c>
      <c r="P48" t="s">
        <v>45</v>
      </c>
      <c r="Q48" s="5">
        <f>O48*SUM(E100:E430)</f>
        <v>36719651.959072076</v>
      </c>
      <c r="R48" s="1"/>
      <c r="Y48" t="s">
        <v>13</v>
      </c>
      <c r="Z48">
        <f t="shared" si="0"/>
        <v>0.39835980133982091</v>
      </c>
      <c r="AA48">
        <f t="shared" si="2"/>
        <v>495.2429233136312</v>
      </c>
      <c r="AC48" s="1">
        <v>43.99</v>
      </c>
      <c r="AD48" s="1"/>
      <c r="AE48" s="8" t="s">
        <v>37</v>
      </c>
    </row>
    <row r="49" spans="11:31" x14ac:dyDescent="0.2">
      <c r="K49">
        <v>1</v>
      </c>
      <c r="L49">
        <v>298</v>
      </c>
      <c r="M49" t="s">
        <v>14</v>
      </c>
      <c r="N49" s="1">
        <v>7160</v>
      </c>
      <c r="O49">
        <f>($K$49)*($N$49*1000)/($N$39*$L$49)</f>
        <v>288992.61050738383</v>
      </c>
      <c r="W49">
        <v>1</v>
      </c>
      <c r="X49">
        <v>298</v>
      </c>
      <c r="Y49" t="s">
        <v>14</v>
      </c>
      <c r="Z49">
        <f>AE34-AI34-W80</f>
        <v>3080.1300630063006</v>
      </c>
    </row>
    <row r="50" spans="11:31" x14ac:dyDescent="0.2">
      <c r="M50" t="s">
        <v>15</v>
      </c>
      <c r="N50" s="1">
        <v>520</v>
      </c>
      <c r="Y50" t="s">
        <v>15</v>
      </c>
      <c r="Z50">
        <f>AE35</f>
        <v>20</v>
      </c>
    </row>
    <row r="51" spans="11:31" x14ac:dyDescent="0.2">
      <c r="M51" t="s">
        <v>16</v>
      </c>
      <c r="N51" s="1">
        <v>1.9</v>
      </c>
      <c r="Y51" t="s">
        <v>16</v>
      </c>
      <c r="Z51">
        <f>AE36</f>
        <v>1.6</v>
      </c>
    </row>
    <row r="52" spans="11:31" x14ac:dyDescent="0.2">
      <c r="M52" t="s">
        <v>116</v>
      </c>
      <c r="Q52" s="5">
        <f>SUM(Q42:Q48)</f>
        <v>38516917.192776226</v>
      </c>
      <c r="S52" s="5">
        <f>SUM(S42:S43,S45)</f>
        <v>3295930.0964973695</v>
      </c>
      <c r="T52">
        <f>SUM(Q52:S52)/(1-SUM(Y15:Y16))*SUM(Y15:Y16)</f>
        <v>5167880.0020450512</v>
      </c>
      <c r="Y52" t="s">
        <v>116</v>
      </c>
      <c r="AE52">
        <f>SUM(AE42,AE44:AE46)</f>
        <v>-27396399.865633108</v>
      </c>
    </row>
    <row r="53" spans="11:31" x14ac:dyDescent="0.2">
      <c r="AB53" s="4"/>
      <c r="AC53" s="4" t="s">
        <v>40</v>
      </c>
      <c r="AD53" s="4" t="s">
        <v>32</v>
      </c>
    </row>
    <row r="58" spans="11:31" x14ac:dyDescent="0.2">
      <c r="U58" t="s">
        <v>17</v>
      </c>
    </row>
    <row r="59" spans="11:31" x14ac:dyDescent="0.2">
      <c r="U59" t="s">
        <v>38</v>
      </c>
      <c r="V59" s="5">
        <f>SUM(Q52:T52,AE52)*-1</f>
        <v>-19584327.42568554</v>
      </c>
    </row>
    <row r="69" spans="1:23" x14ac:dyDescent="0.2">
      <c r="V69" t="s">
        <v>0</v>
      </c>
      <c r="W69" t="s">
        <v>26</v>
      </c>
    </row>
    <row r="70" spans="1:23" x14ac:dyDescent="0.2">
      <c r="A70" s="14" t="s">
        <v>117</v>
      </c>
      <c r="J70" s="14" t="s">
        <v>102</v>
      </c>
      <c r="V70" t="s">
        <v>7</v>
      </c>
      <c r="W70" cm="1">
        <f t="array" ref="W70:W76">AI27:AI33</f>
        <v>99.99</v>
      </c>
    </row>
    <row r="71" spans="1:23" x14ac:dyDescent="0.2">
      <c r="D71" s="2" t="s">
        <v>118</v>
      </c>
      <c r="E71" s="2" t="s">
        <v>118</v>
      </c>
      <c r="F71" s="2" t="s">
        <v>118</v>
      </c>
      <c r="G71" s="2" t="s">
        <v>118</v>
      </c>
      <c r="H71" s="2" t="s">
        <v>118</v>
      </c>
      <c r="M71" t="s">
        <v>18</v>
      </c>
      <c r="N71" t="s">
        <v>59</v>
      </c>
      <c r="O71" t="s">
        <v>56</v>
      </c>
      <c r="P71" t="s">
        <v>44</v>
      </c>
      <c r="Q71" t="s">
        <v>60</v>
      </c>
      <c r="R71" t="s">
        <v>54</v>
      </c>
      <c r="S71" t="s">
        <v>49</v>
      </c>
      <c r="U71" t="s">
        <v>100</v>
      </c>
      <c r="V71" t="s">
        <v>8</v>
      </c>
      <c r="W71">
        <v>0.01</v>
      </c>
    </row>
    <row r="72" spans="1:23" x14ac:dyDescent="0.2">
      <c r="D72" t="s">
        <v>44</v>
      </c>
      <c r="E72" t="s">
        <v>54</v>
      </c>
      <c r="F72" t="s">
        <v>18</v>
      </c>
      <c r="G72" t="s">
        <v>55</v>
      </c>
      <c r="H72" t="s">
        <v>56</v>
      </c>
      <c r="J72" t="s">
        <v>77</v>
      </c>
      <c r="L72" t="s">
        <v>61</v>
      </c>
      <c r="M72">
        <v>3</v>
      </c>
      <c r="N72">
        <v>1</v>
      </c>
      <c r="P72">
        <v>-1</v>
      </c>
      <c r="R72">
        <v>-1</v>
      </c>
      <c r="V72" t="s">
        <v>9</v>
      </c>
      <c r="W72">
        <v>0</v>
      </c>
    </row>
    <row r="73" spans="1:23" x14ac:dyDescent="0.2">
      <c r="C73" t="s">
        <v>47</v>
      </c>
      <c r="D73" s="1">
        <v>-0.70302900000000002</v>
      </c>
      <c r="E73" s="1">
        <v>-203.60599999999999</v>
      </c>
      <c r="F73" s="1">
        <v>33.066178000000001</v>
      </c>
      <c r="G73" s="1">
        <v>19.50583</v>
      </c>
      <c r="H73" s="1">
        <v>24.997350000000001</v>
      </c>
      <c r="J73" t="s">
        <v>66</v>
      </c>
      <c r="M73">
        <v>1</v>
      </c>
      <c r="N73">
        <v>-1</v>
      </c>
      <c r="O73">
        <v>1</v>
      </c>
      <c r="R73">
        <v>-1</v>
      </c>
      <c r="T73" s="10" t="s">
        <v>71</v>
      </c>
      <c r="U73" t="s">
        <v>101</v>
      </c>
      <c r="V73" t="s">
        <v>10</v>
      </c>
      <c r="W73">
        <v>0</v>
      </c>
    </row>
    <row r="74" spans="1:23" x14ac:dyDescent="0.2">
      <c r="C74" t="s">
        <v>48</v>
      </c>
      <c r="D74" s="1">
        <v>108.4773</v>
      </c>
      <c r="E74" s="1">
        <v>1523.29</v>
      </c>
      <c r="F74" s="1">
        <v>-11.363417</v>
      </c>
      <c r="G74" s="1">
        <v>19.887049999999999</v>
      </c>
      <c r="H74" s="1">
        <v>55.186959999999999</v>
      </c>
      <c r="J74" t="s">
        <v>78</v>
      </c>
      <c r="M74">
        <v>4</v>
      </c>
      <c r="O74">
        <v>1</v>
      </c>
      <c r="P74">
        <v>-1</v>
      </c>
      <c r="R74">
        <v>-2</v>
      </c>
      <c r="T74" s="10" t="s">
        <v>71</v>
      </c>
      <c r="V74" t="s">
        <v>11</v>
      </c>
      <c r="W74">
        <v>0</v>
      </c>
    </row>
    <row r="75" spans="1:23" x14ac:dyDescent="0.2">
      <c r="C75" t="s">
        <v>49</v>
      </c>
      <c r="D75" s="1">
        <v>-42.521569999999997</v>
      </c>
      <c r="E75" s="1">
        <v>-3196.413</v>
      </c>
      <c r="F75" s="1">
        <v>11.432816000000001</v>
      </c>
      <c r="G75" s="1">
        <v>-8.598535</v>
      </c>
      <c r="H75" s="1">
        <v>-33.691369999999999</v>
      </c>
      <c r="J75" t="s">
        <v>79</v>
      </c>
      <c r="L75" t="s">
        <v>62</v>
      </c>
      <c r="M75" s="10">
        <v>2</v>
      </c>
      <c r="N75" s="10">
        <v>2</v>
      </c>
      <c r="O75" s="10">
        <v>-1</v>
      </c>
      <c r="P75" s="10">
        <v>-1</v>
      </c>
      <c r="Q75" s="10"/>
      <c r="R75" s="10"/>
      <c r="S75" s="10"/>
      <c r="V75" t="s">
        <v>12</v>
      </c>
      <c r="W75">
        <v>0</v>
      </c>
    </row>
    <row r="76" spans="1:23" x14ac:dyDescent="0.2">
      <c r="C76" t="s">
        <v>33</v>
      </c>
      <c r="D76" s="1">
        <v>5.8627880000000001</v>
      </c>
      <c r="E76" s="1">
        <v>2474.2550000000001</v>
      </c>
      <c r="F76" s="1">
        <v>-2.7728739999999998</v>
      </c>
      <c r="G76" s="1">
        <v>1.3697839999999999</v>
      </c>
      <c r="H76" s="1">
        <v>7.9483870000000003</v>
      </c>
      <c r="J76" t="s">
        <v>80</v>
      </c>
      <c r="K76" t="s">
        <v>84</v>
      </c>
      <c r="M76" s="13">
        <v>-1</v>
      </c>
      <c r="N76" s="13">
        <v>-1</v>
      </c>
      <c r="O76" s="13"/>
      <c r="P76" s="13"/>
      <c r="Q76" s="13"/>
      <c r="R76" s="13">
        <v>1</v>
      </c>
      <c r="S76" s="13">
        <v>1</v>
      </c>
      <c r="T76" s="11" t="s">
        <v>71</v>
      </c>
      <c r="V76" t="s">
        <v>13</v>
      </c>
      <c r="W76">
        <v>0</v>
      </c>
    </row>
    <row r="77" spans="1:23" x14ac:dyDescent="0.2">
      <c r="C77" t="s">
        <v>50</v>
      </c>
      <c r="D77" s="1">
        <v>0.67856499999999997</v>
      </c>
      <c r="E77" s="1">
        <v>3.8553259999999998</v>
      </c>
      <c r="F77" s="1">
        <v>-9.9807970000000008</v>
      </c>
      <c r="G77" s="1">
        <v>0.52760099999999999</v>
      </c>
      <c r="H77" s="1">
        <v>-0.13663800000000001</v>
      </c>
      <c r="J77" t="s">
        <v>81</v>
      </c>
      <c r="K77" t="s">
        <v>84</v>
      </c>
      <c r="N77">
        <v>-2</v>
      </c>
      <c r="O77">
        <v>1</v>
      </c>
      <c r="S77">
        <v>1</v>
      </c>
      <c r="T77" s="13" t="s">
        <v>71</v>
      </c>
    </row>
    <row r="78" spans="1:23" x14ac:dyDescent="0.2">
      <c r="D78" s="4"/>
      <c r="E78" s="4"/>
      <c r="J78" t="s">
        <v>82</v>
      </c>
      <c r="K78" t="s">
        <v>84</v>
      </c>
      <c r="L78" t="s">
        <v>63</v>
      </c>
      <c r="M78" s="11">
        <v>2</v>
      </c>
      <c r="N78" s="11"/>
      <c r="O78" s="11"/>
      <c r="P78" s="11">
        <v>-1</v>
      </c>
      <c r="Q78" s="11"/>
      <c r="R78" s="11"/>
      <c r="S78" s="11">
        <v>1</v>
      </c>
    </row>
    <row r="79" spans="1:23" x14ac:dyDescent="0.2">
      <c r="A79" t="s">
        <v>51</v>
      </c>
      <c r="B79" t="s">
        <v>52</v>
      </c>
      <c r="C79" t="s">
        <v>53</v>
      </c>
      <c r="D79" t="s">
        <v>43</v>
      </c>
      <c r="J79" t="s">
        <v>83</v>
      </c>
      <c r="L79" t="s">
        <v>64</v>
      </c>
      <c r="M79">
        <v>5</v>
      </c>
      <c r="N79">
        <v>2</v>
      </c>
      <c r="Q79">
        <v>-1</v>
      </c>
      <c r="R79">
        <v>-2</v>
      </c>
    </row>
    <row r="80" spans="1:23" x14ac:dyDescent="0.2">
      <c r="A80">
        <v>298</v>
      </c>
      <c r="B80">
        <f t="shared" ref="B80:B127" si="3">A80/1000</f>
        <v>0.29799999999999999</v>
      </c>
      <c r="C80">
        <f>A80-273</f>
        <v>25</v>
      </c>
      <c r="D80" s="17">
        <f t="shared" ref="D80:H89" si="4">(D$73+D$74*$B80+D$75*($B80^2)+D$76*($B80^3)+D$77/($B80^2))/1000</f>
        <v>3.5643424878976322E-2</v>
      </c>
      <c r="E80" s="17">
        <f t="shared" si="4"/>
        <v>7.5371712525214352E-2</v>
      </c>
      <c r="F80" s="17">
        <f t="shared" si="4"/>
        <v>-8.1769520621583491E-2</v>
      </c>
      <c r="G80" s="17">
        <f t="shared" si="4"/>
        <v>3.0646021084517201E-2</v>
      </c>
      <c r="H80" s="17">
        <f t="shared" si="4"/>
        <v>3.7122831621349162E-2</v>
      </c>
      <c r="V80" t="s">
        <v>14</v>
      </c>
      <c r="W80">
        <f>M27/100*M34/(W70/100)</f>
        <v>99.369936993699383</v>
      </c>
    </row>
    <row r="81" spans="1:24" x14ac:dyDescent="0.2">
      <c r="A81">
        <v>774</v>
      </c>
      <c r="B81">
        <f t="shared" si="3"/>
        <v>0.77400000000000002</v>
      </c>
      <c r="C81">
        <f>A81-273</f>
        <v>501</v>
      </c>
      <c r="D81" s="17">
        <f t="shared" si="4"/>
        <v>6.163592095572077E-2</v>
      </c>
      <c r="E81" s="17">
        <f t="shared" si="4"/>
        <v>0.21423609375050931</v>
      </c>
      <c r="F81" s="17">
        <f t="shared" si="4"/>
        <v>1.3173960770107001E-2</v>
      </c>
      <c r="G81" s="17">
        <f t="shared" si="4"/>
        <v>3.1263070063845412E-2</v>
      </c>
      <c r="H81" s="17">
        <f t="shared" si="4"/>
        <v>5.0985831047941417E-2</v>
      </c>
      <c r="J81" t="s">
        <v>67</v>
      </c>
      <c r="K81" t="s">
        <v>69</v>
      </c>
      <c r="M81" s="10">
        <f t="shared" ref="M81:S81" si="5">M72-M73</f>
        <v>2</v>
      </c>
      <c r="N81" s="10">
        <f t="shared" si="5"/>
        <v>2</v>
      </c>
      <c r="O81" s="10">
        <f t="shared" si="5"/>
        <v>-1</v>
      </c>
      <c r="P81" s="10">
        <f t="shared" si="5"/>
        <v>-1</v>
      </c>
      <c r="Q81" s="10">
        <f t="shared" si="5"/>
        <v>0</v>
      </c>
      <c r="R81" s="10">
        <f t="shared" si="5"/>
        <v>0</v>
      </c>
      <c r="S81" s="10">
        <f t="shared" si="5"/>
        <v>0</v>
      </c>
      <c r="V81" t="s">
        <v>15</v>
      </c>
      <c r="W81">
        <f>AI35</f>
        <v>20</v>
      </c>
    </row>
    <row r="82" spans="1:24" x14ac:dyDescent="0.2">
      <c r="A82">
        <v>775</v>
      </c>
      <c r="B82">
        <f t="shared" si="3"/>
        <v>0.77500000000000002</v>
      </c>
      <c r="C82">
        <f t="shared" ref="C82:C145" si="6">A82-273</f>
        <v>502</v>
      </c>
      <c r="D82" s="17">
        <f t="shared" si="4"/>
        <v>6.1686161554991341E-2</v>
      </c>
      <c r="E82" s="17">
        <f t="shared" si="4"/>
        <v>0.21524409116455825</v>
      </c>
      <c r="F82" s="17">
        <f t="shared" si="4"/>
        <v>1.3218283489078208E-2</v>
      </c>
      <c r="G82" s="17">
        <f t="shared" si="4"/>
        <v>3.1269831693938342E-2</v>
      </c>
      <c r="H82" s="17">
        <f t="shared" si="4"/>
        <v>5.1003721820607389E-2</v>
      </c>
      <c r="J82" t="s">
        <v>68</v>
      </c>
      <c r="K82" t="s">
        <v>70</v>
      </c>
      <c r="M82" s="10">
        <f t="shared" ref="M82:S82" si="7">2*M72-M74</f>
        <v>2</v>
      </c>
      <c r="N82" s="10">
        <f t="shared" si="7"/>
        <v>2</v>
      </c>
      <c r="O82" s="10">
        <f t="shared" si="7"/>
        <v>-1</v>
      </c>
      <c r="P82" s="10">
        <f t="shared" si="7"/>
        <v>-1</v>
      </c>
      <c r="Q82" s="10">
        <f t="shared" si="7"/>
        <v>0</v>
      </c>
      <c r="R82" s="10">
        <f t="shared" si="7"/>
        <v>0</v>
      </c>
      <c r="S82" s="10">
        <f t="shared" si="7"/>
        <v>0</v>
      </c>
      <c r="V82" t="s">
        <v>16</v>
      </c>
      <c r="W82">
        <f>M36</f>
        <v>1.9</v>
      </c>
    </row>
    <row r="83" spans="1:24" x14ac:dyDescent="0.2">
      <c r="A83">
        <v>776</v>
      </c>
      <c r="B83">
        <f t="shared" si="3"/>
        <v>0.77600000000000002</v>
      </c>
      <c r="C83">
        <f t="shared" si="6"/>
        <v>503</v>
      </c>
      <c r="D83" s="17">
        <f t="shared" si="4"/>
        <v>6.173635565900959E-2</v>
      </c>
      <c r="E83" s="17">
        <f t="shared" si="4"/>
        <v>0.21625726516031238</v>
      </c>
      <c r="F83" s="17">
        <f t="shared" si="4"/>
        <v>1.3262450178754727E-2</v>
      </c>
      <c r="G83" s="17">
        <f t="shared" si="4"/>
        <v>3.1276591271540324E-2</v>
      </c>
      <c r="H83" s="17">
        <f t="shared" si="4"/>
        <v>5.102157989796359E-2</v>
      </c>
      <c r="J83" t="s">
        <v>85</v>
      </c>
      <c r="K83" t="s">
        <v>86</v>
      </c>
      <c r="M83" s="11">
        <f t="shared" ref="M83:S83" si="8">M72+M76</f>
        <v>2</v>
      </c>
      <c r="N83" s="11">
        <f t="shared" si="8"/>
        <v>0</v>
      </c>
      <c r="O83" s="11">
        <f t="shared" si="8"/>
        <v>0</v>
      </c>
      <c r="P83" s="11">
        <f t="shared" si="8"/>
        <v>-1</v>
      </c>
      <c r="Q83" s="11">
        <f t="shared" si="8"/>
        <v>0</v>
      </c>
      <c r="R83" s="11">
        <f t="shared" si="8"/>
        <v>0</v>
      </c>
      <c r="S83" s="11">
        <f t="shared" si="8"/>
        <v>1</v>
      </c>
    </row>
    <row r="84" spans="1:24" x14ac:dyDescent="0.2">
      <c r="A84">
        <v>777</v>
      </c>
      <c r="B84">
        <f t="shared" si="3"/>
        <v>0.77700000000000002</v>
      </c>
      <c r="C84">
        <f t="shared" si="6"/>
        <v>504</v>
      </c>
      <c r="D84" s="17">
        <f t="shared" si="4"/>
        <v>6.1786503244889636E-2</v>
      </c>
      <c r="E84" s="17">
        <f t="shared" si="4"/>
        <v>0.21727563025341307</v>
      </c>
      <c r="F84" s="17">
        <f t="shared" si="4"/>
        <v>1.3306461676523473E-2</v>
      </c>
      <c r="G84" s="17">
        <f t="shared" si="4"/>
        <v>3.1283348759724973E-2</v>
      </c>
      <c r="H84" s="17">
        <f t="shared" si="4"/>
        <v>5.1039405339392004E-2</v>
      </c>
      <c r="J84" t="s">
        <v>87</v>
      </c>
      <c r="K84" s="12" t="s">
        <v>88</v>
      </c>
      <c r="M84" s="13">
        <f t="shared" ref="M84:S84" si="9">M77-M73</f>
        <v>-1</v>
      </c>
      <c r="N84" s="13">
        <f t="shared" si="9"/>
        <v>-1</v>
      </c>
      <c r="O84" s="13">
        <f t="shared" si="9"/>
        <v>0</v>
      </c>
      <c r="P84" s="13">
        <f t="shared" si="9"/>
        <v>0</v>
      </c>
      <c r="Q84" s="13">
        <f t="shared" si="9"/>
        <v>0</v>
      </c>
      <c r="R84" s="13">
        <f t="shared" si="9"/>
        <v>1</v>
      </c>
      <c r="S84" s="13">
        <f t="shared" si="9"/>
        <v>1</v>
      </c>
    </row>
    <row r="85" spans="1:24" x14ac:dyDescent="0.2">
      <c r="A85">
        <v>778</v>
      </c>
      <c r="B85">
        <f t="shared" si="3"/>
        <v>0.77800000000000002</v>
      </c>
      <c r="C85">
        <f t="shared" si="6"/>
        <v>505</v>
      </c>
      <c r="D85" s="17">
        <f t="shared" si="4"/>
        <v>6.183660429011853E-2</v>
      </c>
      <c r="E85" s="17">
        <f t="shared" si="4"/>
        <v>0.21829920096162195</v>
      </c>
      <c r="F85" s="17">
        <f t="shared" si="4"/>
        <v>1.3350318814286322E-2</v>
      </c>
      <c r="G85" s="17">
        <f t="shared" si="4"/>
        <v>3.1290104121855851E-2</v>
      </c>
      <c r="H85" s="17">
        <f t="shared" si="4"/>
        <v>5.105719820419951E-2</v>
      </c>
    </row>
    <row r="86" spans="1:24" x14ac:dyDescent="0.2">
      <c r="A86">
        <v>779</v>
      </c>
      <c r="B86">
        <f t="shared" si="3"/>
        <v>0.77900000000000003</v>
      </c>
      <c r="C86">
        <f t="shared" si="6"/>
        <v>506</v>
      </c>
      <c r="D86" s="17">
        <f t="shared" si="4"/>
        <v>6.1886658772553386E-2</v>
      </c>
      <c r="E86" s="17">
        <f t="shared" si="4"/>
        <v>0.2193279918048027</v>
      </c>
      <c r="F86" s="17">
        <f t="shared" si="4"/>
        <v>1.3394022418502306E-2</v>
      </c>
      <c r="G86" s="17">
        <f t="shared" si="4"/>
        <v>3.1296857321584229E-2</v>
      </c>
      <c r="H86" s="17">
        <f t="shared" si="4"/>
        <v>5.1074958551618505E-2</v>
      </c>
      <c r="V86" s="15" t="s">
        <v>96</v>
      </c>
    </row>
    <row r="87" spans="1:24" x14ac:dyDescent="0.2">
      <c r="A87">
        <v>780</v>
      </c>
      <c r="B87">
        <f t="shared" si="3"/>
        <v>0.78</v>
      </c>
      <c r="C87">
        <f t="shared" si="6"/>
        <v>507</v>
      </c>
      <c r="D87" s="17">
        <f t="shared" si="4"/>
        <v>6.1936666670418472E-2</v>
      </c>
      <c r="E87" s="17">
        <f t="shared" si="4"/>
        <v>0.22036201730490484</v>
      </c>
      <c r="F87" s="17">
        <f t="shared" si="4"/>
        <v>1.3437573310229453E-2</v>
      </c>
      <c r="G87" s="17">
        <f t="shared" si="4"/>
        <v>3.1303608322846892E-2</v>
      </c>
      <c r="H87" s="17">
        <f t="shared" si="4"/>
        <v>5.109268644080743E-2</v>
      </c>
      <c r="M87" t="s">
        <v>61</v>
      </c>
      <c r="N87" t="s">
        <v>62</v>
      </c>
      <c r="O87" t="s">
        <v>63</v>
      </c>
      <c r="P87" t="s">
        <v>64</v>
      </c>
      <c r="V87" s="15" t="s">
        <v>97</v>
      </c>
      <c r="W87" t="s">
        <v>98</v>
      </c>
      <c r="X87" t="s">
        <v>99</v>
      </c>
    </row>
    <row r="88" spans="1:24" x14ac:dyDescent="0.2">
      <c r="A88">
        <v>781</v>
      </c>
      <c r="B88">
        <f t="shared" si="3"/>
        <v>0.78100000000000003</v>
      </c>
      <c r="C88">
        <f t="shared" si="6"/>
        <v>508</v>
      </c>
      <c r="D88" s="17">
        <f t="shared" si="4"/>
        <v>6.1986627962302476E-2</v>
      </c>
      <c r="E88" s="17">
        <f t="shared" si="4"/>
        <v>0.22140129198594802</v>
      </c>
      <c r="F88" s="17">
        <f t="shared" si="4"/>
        <v>1.3480972305166265E-2</v>
      </c>
      <c r="G88" s="17">
        <f t="shared" si="4"/>
        <v>3.131035708986394E-2</v>
      </c>
      <c r="H88" s="17">
        <f t="shared" si="4"/>
        <v>5.1110381930851372E-2</v>
      </c>
      <c r="L88" t="s">
        <v>65</v>
      </c>
      <c r="M88">
        <f>M72</f>
        <v>3</v>
      </c>
      <c r="N88">
        <f>M75</f>
        <v>2</v>
      </c>
      <c r="O88">
        <f>M78</f>
        <v>2</v>
      </c>
      <c r="P88">
        <f>M79</f>
        <v>5</v>
      </c>
      <c r="Q88">
        <f>W27/100*X34-S27/100*T34</f>
        <v>215726.92942929608</v>
      </c>
      <c r="R88" s="12" t="s">
        <v>91</v>
      </c>
      <c r="S88" t="s">
        <v>90</v>
      </c>
      <c r="T88" s="5">
        <f>(Q88-(T93*M88+T90*N88+T92*P88))/O88</f>
        <v>66.597459125259775</v>
      </c>
      <c r="U88" t="s">
        <v>95</v>
      </c>
      <c r="V88" s="15"/>
    </row>
    <row r="89" spans="1:24" x14ac:dyDescent="0.2">
      <c r="A89">
        <v>782</v>
      </c>
      <c r="B89">
        <f t="shared" si="3"/>
        <v>0.78200000000000003</v>
      </c>
      <c r="C89">
        <f t="shared" si="6"/>
        <v>509</v>
      </c>
      <c r="D89" s="17">
        <f t="shared" si="4"/>
        <v>6.2036542627155647E-2</v>
      </c>
      <c r="E89" s="17">
        <f t="shared" si="4"/>
        <v>0.2224458303740075</v>
      </c>
      <c r="F89" s="17">
        <f t="shared" si="4"/>
        <v>1.352422021369281E-2</v>
      </c>
      <c r="G89" s="17">
        <f t="shared" si="4"/>
        <v>3.1317103587136609E-2</v>
      </c>
      <c r="H89" s="17">
        <f t="shared" si="4"/>
        <v>5.1128045080762567E-2</v>
      </c>
      <c r="L89" t="s">
        <v>72</v>
      </c>
      <c r="M89">
        <f>N72</f>
        <v>1</v>
      </c>
      <c r="N89">
        <f>N75</f>
        <v>2</v>
      </c>
      <c r="P89">
        <f>N79</f>
        <v>2</v>
      </c>
      <c r="T89" s="5"/>
      <c r="V89" s="15">
        <f>W29/100*X34-S29/100*T34</f>
        <v>45130.878133914972</v>
      </c>
      <c r="W89">
        <f>M89*T$93+N89*T$90+O89*T$88+P89*T$92</f>
        <v>44531.904622751659</v>
      </c>
      <c r="X89" s="7">
        <f>(W89-V89)/V89</f>
        <v>-1.3271922371774011E-2</v>
      </c>
    </row>
    <row r="90" spans="1:24" x14ac:dyDescent="0.2">
      <c r="A90">
        <v>783</v>
      </c>
      <c r="B90">
        <f t="shared" si="3"/>
        <v>0.78300000000000003</v>
      </c>
      <c r="C90">
        <f t="shared" si="6"/>
        <v>510</v>
      </c>
      <c r="D90" s="17">
        <f t="shared" ref="D90:H99" si="10">(D$73+D$74*$B90+D$75*($B90^2)+D$76*($B90^3)+D$77/($B90^2))/1000</f>
        <v>6.2086410644287056E-2</v>
      </c>
      <c r="E90" s="17">
        <f t="shared" si="10"/>
        <v>0.22349564699719576</v>
      </c>
      <c r="F90" s="17">
        <f t="shared" si="10"/>
        <v>1.3567317840911457E-2</v>
      </c>
      <c r="G90" s="17">
        <f t="shared" si="10"/>
        <v>3.1323847779445128E-2</v>
      </c>
      <c r="H90" s="17">
        <f t="shared" si="10"/>
        <v>5.1145675949481058E-2</v>
      </c>
      <c r="L90" t="s">
        <v>73</v>
      </c>
      <c r="N90">
        <f>O75</f>
        <v>-1</v>
      </c>
      <c r="Q90">
        <f>W30/100*X34-S30/100*T34</f>
        <v>21221.986686966105</v>
      </c>
      <c r="R90" s="12" t="s">
        <v>91</v>
      </c>
      <c r="S90" t="s">
        <v>94</v>
      </c>
      <c r="T90" s="5">
        <f>Q90*N90</f>
        <v>-21221.986686966105</v>
      </c>
      <c r="U90" t="s">
        <v>95</v>
      </c>
      <c r="V90" s="15"/>
    </row>
    <row r="91" spans="1:24" x14ac:dyDescent="0.2">
      <c r="A91">
        <v>784</v>
      </c>
      <c r="B91">
        <f t="shared" si="3"/>
        <v>0.78400000000000003</v>
      </c>
      <c r="C91">
        <f t="shared" si="6"/>
        <v>511</v>
      </c>
      <c r="D91" s="17">
        <f t="shared" si="10"/>
        <v>6.2136231993361865E-2</v>
      </c>
      <c r="E91" s="17">
        <f t="shared" si="10"/>
        <v>0.22455075638564928</v>
      </c>
      <c r="F91" s="17">
        <f t="shared" si="10"/>
        <v>1.3610265986687225E-2</v>
      </c>
      <c r="G91" s="17">
        <f t="shared" si="10"/>
        <v>3.1330589631846574E-2</v>
      </c>
      <c r="H91" s="17">
        <f t="shared" si="10"/>
        <v>5.1163274595875136E-2</v>
      </c>
      <c r="L91" t="s">
        <v>74</v>
      </c>
      <c r="M91">
        <f>P72</f>
        <v>-1</v>
      </c>
      <c r="N91">
        <f>P75</f>
        <v>-1</v>
      </c>
      <c r="O91">
        <f>P78</f>
        <v>-1</v>
      </c>
      <c r="T91" s="5"/>
      <c r="V91" s="15">
        <f>W31/100*X34-S31/100*T34</f>
        <v>-59399.282846270464</v>
      </c>
      <c r="W91">
        <f>M91*T$93+N91*T$90+O91*T$88+P91*T$92</f>
        <v>-60040.636558695347</v>
      </c>
      <c r="X91" s="7">
        <f>(W91-V91)/V91</f>
        <v>1.0797330905235875E-2</v>
      </c>
    </row>
    <row r="92" spans="1:24" x14ac:dyDescent="0.2">
      <c r="A92">
        <v>785</v>
      </c>
      <c r="B92">
        <f t="shared" si="3"/>
        <v>0.78500000000000003</v>
      </c>
      <c r="C92">
        <f t="shared" si="6"/>
        <v>512</v>
      </c>
      <c r="D92" s="17">
        <f t="shared" si="10"/>
        <v>6.2186006654398523E-2</v>
      </c>
      <c r="E92" s="17">
        <f t="shared" si="10"/>
        <v>0.22561117307151124</v>
      </c>
      <c r="F92" s="17">
        <f t="shared" si="10"/>
        <v>1.3653065445687779E-2</v>
      </c>
      <c r="G92" s="17">
        <f t="shared" si="10"/>
        <v>3.1337329109672761E-2</v>
      </c>
      <c r="H92" s="17">
        <f t="shared" si="10"/>
        <v>5.1180841078741948E-2</v>
      </c>
      <c r="L92" t="s">
        <v>75</v>
      </c>
      <c r="P92">
        <f>Q79</f>
        <v>-1</v>
      </c>
      <c r="Q92">
        <f>W32/100*X34-S32/100*T34</f>
        <v>-2889.9261050738382</v>
      </c>
      <c r="R92" s="12" t="s">
        <v>91</v>
      </c>
      <c r="S92" t="s">
        <v>93</v>
      </c>
      <c r="T92" s="5">
        <f>Q92*P92</f>
        <v>2889.9261050738382</v>
      </c>
      <c r="U92" t="s">
        <v>95</v>
      </c>
      <c r="V92" s="15"/>
    </row>
    <row r="93" spans="1:24" x14ac:dyDescent="0.2">
      <c r="A93">
        <v>786</v>
      </c>
      <c r="B93">
        <f t="shared" si="3"/>
        <v>0.78600000000000003</v>
      </c>
      <c r="C93">
        <f t="shared" si="6"/>
        <v>513</v>
      </c>
      <c r="D93" s="17">
        <f t="shared" si="10"/>
        <v>6.2235734607766234E-2</v>
      </c>
      <c r="E93" s="17">
        <f t="shared" si="10"/>
        <v>0.22667691158891823</v>
      </c>
      <c r="F93" s="17">
        <f t="shared" si="10"/>
        <v>1.3695717007423131E-2</v>
      </c>
      <c r="G93" s="17">
        <f t="shared" si="10"/>
        <v>3.1344066178528147E-2</v>
      </c>
      <c r="H93" s="17">
        <f t="shared" si="10"/>
        <v>5.1198375456808075E-2</v>
      </c>
      <c r="L93" t="s">
        <v>76</v>
      </c>
      <c r="M93">
        <f>R72</f>
        <v>-1</v>
      </c>
      <c r="P93">
        <v>-2</v>
      </c>
      <c r="Q93">
        <f>W33/100*X34-S33/100*T34</f>
        <v>-86975.877996683863</v>
      </c>
      <c r="R93" s="12" t="s">
        <v>91</v>
      </c>
      <c r="S93" t="s">
        <v>92</v>
      </c>
      <c r="T93" s="5">
        <f>(Q93-(P93*T92))/M93</f>
        <v>81196.025786536193</v>
      </c>
      <c r="U93" t="s">
        <v>95</v>
      </c>
      <c r="V93" s="15"/>
    </row>
    <row r="94" spans="1:24" x14ac:dyDescent="0.2">
      <c r="A94">
        <v>787</v>
      </c>
      <c r="B94">
        <f t="shared" si="3"/>
        <v>0.78700000000000003</v>
      </c>
      <c r="C94">
        <f t="shared" si="6"/>
        <v>514</v>
      </c>
      <c r="D94" s="17">
        <f t="shared" si="10"/>
        <v>6.2285415834182116E-2</v>
      </c>
      <c r="E94" s="17">
        <f t="shared" si="10"/>
        <v>0.2277479864739827</v>
      </c>
      <c r="F94" s="17">
        <f t="shared" si="10"/>
        <v>1.3738221456284883E-2</v>
      </c>
      <c r="G94" s="17">
        <f t="shared" si="10"/>
        <v>3.135080080428778E-2</v>
      </c>
      <c r="H94" s="17">
        <f t="shared" si="10"/>
        <v>5.1215877788729949E-2</v>
      </c>
      <c r="L94" t="s">
        <v>89</v>
      </c>
      <c r="O94">
        <f>S78</f>
        <v>1</v>
      </c>
      <c r="V94" s="15">
        <v>0</v>
      </c>
      <c r="W94">
        <f>M94*T$93+N94*T$90+O94*T$88+P94*T$92</f>
        <v>66.597459125259775</v>
      </c>
    </row>
    <row r="95" spans="1:24" x14ac:dyDescent="0.2">
      <c r="A95">
        <v>788</v>
      </c>
      <c r="B95">
        <f t="shared" si="3"/>
        <v>0.78800000000000003</v>
      </c>
      <c r="C95">
        <f t="shared" si="6"/>
        <v>515</v>
      </c>
      <c r="D95" s="17">
        <f t="shared" si="10"/>
        <v>6.2335050314708623E-2</v>
      </c>
      <c r="E95" s="17">
        <f t="shared" si="10"/>
        <v>0.22882441226478023</v>
      </c>
      <c r="F95" s="17">
        <f t="shared" si="10"/>
        <v>1.3780579571585194E-2</v>
      </c>
      <c r="G95" s="17">
        <f t="shared" si="10"/>
        <v>3.1357532953095187E-2</v>
      </c>
      <c r="H95" s="17">
        <f t="shared" si="10"/>
        <v>5.1233348133094568E-2</v>
      </c>
    </row>
    <row r="96" spans="1:24" x14ac:dyDescent="0.2">
      <c r="A96">
        <v>789</v>
      </c>
      <c r="B96">
        <f t="shared" si="3"/>
        <v>0.78900000000000003</v>
      </c>
      <c r="C96">
        <f t="shared" si="6"/>
        <v>516</v>
      </c>
      <c r="D96" s="17">
        <f t="shared" si="10"/>
        <v>6.2384638030750943E-2</v>
      </c>
      <c r="E96" s="17">
        <f t="shared" si="10"/>
        <v>0.22990620350133323</v>
      </c>
      <c r="F96" s="17">
        <f t="shared" si="10"/>
        <v>1.3822792127595377E-2</v>
      </c>
      <c r="G96" s="17">
        <f t="shared" si="10"/>
        <v>3.1364262591360374E-2</v>
      </c>
      <c r="H96" s="17">
        <f t="shared" si="10"/>
        <v>5.1250786548419809E-2</v>
      </c>
      <c r="J96" s="14" t="s">
        <v>103</v>
      </c>
    </row>
    <row r="97" spans="1:24" x14ac:dyDescent="0.2">
      <c r="A97">
        <v>790</v>
      </c>
      <c r="B97">
        <f t="shared" si="3"/>
        <v>0.79</v>
      </c>
      <c r="C97">
        <f t="shared" si="6"/>
        <v>517</v>
      </c>
      <c r="D97" s="17">
        <f t="shared" si="10"/>
        <v>6.2434178964054392E-2</v>
      </c>
      <c r="E97" s="17">
        <f t="shared" si="10"/>
        <v>0.23099337472559631</v>
      </c>
      <c r="F97" s="17">
        <f t="shared" si="10"/>
        <v>1.3864859893584181E-2</v>
      </c>
      <c r="G97" s="17">
        <f t="shared" si="10"/>
        <v>3.1370989685757779E-2</v>
      </c>
      <c r="H97" s="17">
        <f t="shared" si="10"/>
        <v>5.1268193093155161E-2</v>
      </c>
    </row>
    <row r="98" spans="1:24" x14ac:dyDescent="0.2">
      <c r="A98">
        <v>791</v>
      </c>
      <c r="B98">
        <f t="shared" si="3"/>
        <v>0.79100000000000004</v>
      </c>
      <c r="C98">
        <f t="shared" si="6"/>
        <v>518</v>
      </c>
      <c r="D98" s="17">
        <f t="shared" si="10"/>
        <v>6.2483673096701782E-2</v>
      </c>
      <c r="E98" s="17">
        <f t="shared" si="10"/>
        <v>0.23208594048144127</v>
      </c>
      <c r="F98" s="17">
        <f t="shared" si="10"/>
        <v>1.3906783633855682E-2</v>
      </c>
      <c r="G98" s="17">
        <f t="shared" si="10"/>
        <v>3.1377714203224299E-2</v>
      </c>
      <c r="H98" s="17">
        <f t="shared" si="10"/>
        <v>5.1285567825682089E-2</v>
      </c>
      <c r="V98" s="2" t="s">
        <v>127</v>
      </c>
    </row>
    <row r="99" spans="1:24" x14ac:dyDescent="0.2">
      <c r="A99">
        <v>792</v>
      </c>
      <c r="B99">
        <f t="shared" si="3"/>
        <v>0.79200000000000004</v>
      </c>
      <c r="C99">
        <f t="shared" si="6"/>
        <v>519</v>
      </c>
      <c r="D99" s="17">
        <f t="shared" si="10"/>
        <v>6.2533120411110893E-2</v>
      </c>
      <c r="E99" s="17">
        <f t="shared" si="10"/>
        <v>0.2331839153146445</v>
      </c>
      <c r="F99" s="17">
        <f t="shared" si="10"/>
        <v>1.3948564107786901E-2</v>
      </c>
      <c r="G99" s="17">
        <f t="shared" si="10"/>
        <v>3.1384436110957287E-2</v>
      </c>
      <c r="H99" s="17">
        <f t="shared" si="10"/>
        <v>5.1302910804314601E-2</v>
      </c>
      <c r="K99" t="s">
        <v>104</v>
      </c>
      <c r="L99" t="s">
        <v>105</v>
      </c>
      <c r="M99" t="s">
        <v>110</v>
      </c>
      <c r="N99" t="s">
        <v>47</v>
      </c>
      <c r="O99" t="s">
        <v>48</v>
      </c>
      <c r="P99" t="s">
        <v>49</v>
      </c>
      <c r="Q99" t="s">
        <v>33</v>
      </c>
      <c r="R99" t="s">
        <v>50</v>
      </c>
      <c r="S99" t="s">
        <v>109</v>
      </c>
      <c r="T99" t="s">
        <v>108</v>
      </c>
      <c r="U99" t="s">
        <v>106</v>
      </c>
      <c r="V99" t="s">
        <v>107</v>
      </c>
    </row>
    <row r="100" spans="1:24" x14ac:dyDescent="0.2">
      <c r="A100">
        <v>793</v>
      </c>
      <c r="B100">
        <f t="shared" si="3"/>
        <v>0.79300000000000004</v>
      </c>
      <c r="C100">
        <f t="shared" si="6"/>
        <v>520</v>
      </c>
      <c r="D100" s="17">
        <f t="shared" ref="D100:H109" si="11">(D$73+D$74*$B100+D$75*($B100^2)+D$76*($B100^3)+D$77/($B100^2))/1000</f>
        <v>6.2582520890032009E-2</v>
      </c>
      <c r="E100" s="17">
        <f t="shared" si="11"/>
        <v>0.23428731377286985</v>
      </c>
      <c r="F100" s="17">
        <f t="shared" si="11"/>
        <v>1.3990202069865022E-2</v>
      </c>
      <c r="G100" s="17">
        <f t="shared" si="11"/>
        <v>3.1391155376412537E-2</v>
      </c>
      <c r="H100" s="17">
        <f t="shared" si="11"/>
        <v>5.1320222087299791E-2</v>
      </c>
      <c r="J100" t="s">
        <v>77</v>
      </c>
      <c r="K100" t="s">
        <v>44</v>
      </c>
      <c r="L100">
        <v>-1</v>
      </c>
      <c r="M100" s="1">
        <v>-74.599999999999994</v>
      </c>
      <c r="N100" s="1">
        <v>-0.70302900000000002</v>
      </c>
      <c r="O100" s="1">
        <v>108.4773</v>
      </c>
      <c r="P100" s="1">
        <v>-42.521569999999997</v>
      </c>
      <c r="Q100" s="1">
        <v>5.8627880000000001</v>
      </c>
      <c r="R100" s="1">
        <v>0.67856499999999997</v>
      </c>
      <c r="S100" s="1">
        <v>1123</v>
      </c>
      <c r="T100" s="1">
        <v>298</v>
      </c>
      <c r="U100">
        <f>(N100*(S100-T100)+O100/2000*(S100^2-T100^2)+P100/(3*10^6)*(S100^3-T100^3)+Q100/(4*10^9)*(S100^4-T100^4)-(10^6*R100)*(1/T100-1/S100))/1000</f>
        <v>43.953456408917837</v>
      </c>
      <c r="V100" t="s">
        <v>57</v>
      </c>
    </row>
    <row r="101" spans="1:24" x14ac:dyDescent="0.2">
      <c r="A101">
        <v>794</v>
      </c>
      <c r="B101">
        <f t="shared" si="3"/>
        <v>0.79400000000000004</v>
      </c>
      <c r="C101">
        <f t="shared" si="6"/>
        <v>521</v>
      </c>
      <c r="D101" s="17">
        <f t="shared" si="11"/>
        <v>6.2631874516545311E-2</v>
      </c>
      <c r="E101" s="17">
        <f t="shared" si="11"/>
        <v>0.23539615040565645</v>
      </c>
      <c r="F101" s="17">
        <f t="shared" si="11"/>
        <v>1.4031698269724353E-2</v>
      </c>
      <c r="G101" s="17">
        <f t="shared" si="11"/>
        <v>3.1397871967302433E-2</v>
      </c>
      <c r="H101" s="17">
        <f t="shared" si="11"/>
        <v>5.1337501732818321E-2</v>
      </c>
      <c r="K101" t="s">
        <v>54</v>
      </c>
      <c r="L101">
        <v>-1</v>
      </c>
      <c r="M101" s="1">
        <v>-241.8</v>
      </c>
      <c r="N101" s="1">
        <v>-203.60599999999999</v>
      </c>
      <c r="O101" s="1">
        <v>1523.29</v>
      </c>
      <c r="P101" s="1">
        <v>-3196.413</v>
      </c>
      <c r="Q101" s="1">
        <v>2474.2550000000001</v>
      </c>
      <c r="R101" s="1">
        <v>3.8553259999999998</v>
      </c>
      <c r="S101" s="1">
        <v>1123</v>
      </c>
      <c r="T101" s="1">
        <v>298</v>
      </c>
      <c r="U101">
        <f>(N101*(S101-T101)+O101/2000*(S101^2-T101^2)+P101/(3*10^6)*(S101^3-T101^3)+Q101/(4*10^9)*(S101^4-T101^4)-(10^6*R101)*(1/T101-1/S101))/1000</f>
        <v>213.55578197380802</v>
      </c>
      <c r="V101" t="s">
        <v>57</v>
      </c>
    </row>
    <row r="102" spans="1:24" x14ac:dyDescent="0.2">
      <c r="A102">
        <v>795</v>
      </c>
      <c r="B102">
        <f t="shared" si="3"/>
        <v>0.79500000000000004</v>
      </c>
      <c r="C102">
        <f t="shared" si="6"/>
        <v>522</v>
      </c>
      <c r="D102" s="17">
        <f t="shared" si="11"/>
        <v>6.2681181274058403E-2</v>
      </c>
      <c r="E102" s="17">
        <f t="shared" si="11"/>
        <v>0.23651043976440417</v>
      </c>
      <c r="F102" s="17">
        <f t="shared" si="11"/>
        <v>1.407305345218293E-2</v>
      </c>
      <c r="G102" s="17">
        <f t="shared" si="11"/>
        <v>3.1404585851593919E-2</v>
      </c>
      <c r="H102" s="17">
        <f t="shared" si="11"/>
        <v>5.135474979898489E-2</v>
      </c>
      <c r="K102" t="s">
        <v>59</v>
      </c>
      <c r="L102">
        <v>1</v>
      </c>
      <c r="M102" s="1">
        <v>-110.5</v>
      </c>
      <c r="N102" s="1">
        <v>25.567589999999999</v>
      </c>
      <c r="O102" s="1">
        <v>6.0961299999999996</v>
      </c>
      <c r="P102" s="1">
        <v>4.0546559999999996</v>
      </c>
      <c r="Q102" s="1">
        <v>-2.6713010000000001</v>
      </c>
      <c r="R102" s="1">
        <v>0.131021</v>
      </c>
      <c r="S102" s="1">
        <v>1123</v>
      </c>
      <c r="T102" s="1">
        <v>298</v>
      </c>
      <c r="U102">
        <f>(N102*(S102-T102)+O102/2000*(S102^2-T102^2)+P102/(3*10^6)*(S102^3-T102^3)+Q102/(4*10^9)*(S102^4-T102^4)-(10^6*R102)*(1/T102-1/S102))/1000</f>
        <v>25.165079343686738</v>
      </c>
      <c r="V102" t="s">
        <v>57</v>
      </c>
    </row>
    <row r="103" spans="1:24" x14ac:dyDescent="0.2">
      <c r="A103">
        <v>796</v>
      </c>
      <c r="B103">
        <f t="shared" si="3"/>
        <v>0.79600000000000004</v>
      </c>
      <c r="C103">
        <f t="shared" si="6"/>
        <v>523</v>
      </c>
      <c r="D103" s="17">
        <f t="shared" si="11"/>
        <v>6.2730441146303911E-2</v>
      </c>
      <c r="E103" s="17">
        <f t="shared" si="11"/>
        <v>0.23763019640235758</v>
      </c>
      <c r="F103" s="17">
        <f t="shared" si="11"/>
        <v>1.4114268357278761E-2</v>
      </c>
      <c r="G103" s="17">
        <f t="shared" si="11"/>
        <v>3.1411296997506617E-2</v>
      </c>
      <c r="H103" s="17">
        <f t="shared" si="11"/>
        <v>5.137196634384876E-2</v>
      </c>
      <c r="K103" t="s">
        <v>18</v>
      </c>
      <c r="L103">
        <v>3</v>
      </c>
      <c r="M103" s="1">
        <v>0</v>
      </c>
      <c r="N103" s="1">
        <v>33.066178000000001</v>
      </c>
      <c r="O103" s="1">
        <v>-11.363417</v>
      </c>
      <c r="P103" s="1">
        <v>11.432816000000001</v>
      </c>
      <c r="Q103" s="1">
        <v>-2.7728739999999998</v>
      </c>
      <c r="R103" s="1">
        <v>-9.9807970000000008</v>
      </c>
      <c r="S103" s="1">
        <v>1123</v>
      </c>
      <c r="T103" s="1">
        <v>298</v>
      </c>
      <c r="U103">
        <f>(N103*(S103-T103)+O103/2000*(S103^2-T103^2)+P103/(3*10^6)*(S103^3-T103^3)+Q103/(4*10^9)*(S103^4-T103^4)-(10^6*R103)*(1/T103-1/S103))/1000</f>
        <v>49.423098167800795</v>
      </c>
      <c r="V103" t="s">
        <v>57</v>
      </c>
    </row>
    <row r="104" spans="1:24" x14ac:dyDescent="0.2">
      <c r="A104">
        <v>797</v>
      </c>
      <c r="B104">
        <f t="shared" si="3"/>
        <v>0.79700000000000004</v>
      </c>
      <c r="C104">
        <f t="shared" si="6"/>
        <v>524</v>
      </c>
      <c r="D104" s="17">
        <f t="shared" si="11"/>
        <v>6.2779654117336964E-2</v>
      </c>
      <c r="E104" s="17">
        <f t="shared" si="11"/>
        <v>0.23875543487459588</v>
      </c>
      <c r="F104" s="17">
        <f t="shared" si="11"/>
        <v>1.4155343720305831E-2</v>
      </c>
      <c r="G104" s="17">
        <f t="shared" si="11"/>
        <v>3.141800537351095E-2</v>
      </c>
      <c r="H104" s="17">
        <f t="shared" si="11"/>
        <v>5.1389151425394283E-2</v>
      </c>
      <c r="M104">
        <f>SUMPRODUCT(L100:L103,M100:M103)</f>
        <v>205.89999999999998</v>
      </c>
      <c r="U104">
        <f>SUMPRODUCT(L100:L103,U100:U103)</f>
        <v>-84.074864535636749</v>
      </c>
      <c r="W104">
        <f>SUM(M104,U104)</f>
        <v>121.82513546436323</v>
      </c>
      <c r="X104" t="s">
        <v>112</v>
      </c>
    </row>
    <row r="105" spans="1:24" x14ac:dyDescent="0.2">
      <c r="A105">
        <v>798</v>
      </c>
      <c r="B105">
        <f t="shared" si="3"/>
        <v>0.79800000000000004</v>
      </c>
      <c r="C105">
        <f t="shared" si="6"/>
        <v>525</v>
      </c>
      <c r="D105" s="17">
        <f t="shared" si="11"/>
        <v>6.2828820171532809E-2</v>
      </c>
      <c r="E105" s="17">
        <f t="shared" si="11"/>
        <v>0.23988616973801583</v>
      </c>
      <c r="F105" s="17">
        <f t="shared" si="11"/>
        <v>1.4196280271849712E-2</v>
      </c>
      <c r="G105" s="17">
        <f t="shared" si="11"/>
        <v>3.1424710948326204E-2</v>
      </c>
      <c r="H105" s="17">
        <f t="shared" si="11"/>
        <v>5.1406305101541323E-2</v>
      </c>
      <c r="J105" t="s">
        <v>79</v>
      </c>
      <c r="K105" t="s">
        <v>44</v>
      </c>
      <c r="L105">
        <v>-1</v>
      </c>
      <c r="M105" s="1">
        <v>-74.599999999999994</v>
      </c>
      <c r="N105" s="1">
        <v>-0.70302900000000002</v>
      </c>
      <c r="O105" s="1">
        <v>108.4773</v>
      </c>
      <c r="P105" s="1">
        <v>-42.521569999999997</v>
      </c>
      <c r="Q105" s="1">
        <v>5.8627880000000001</v>
      </c>
      <c r="R105" s="1">
        <v>0.67856499999999997</v>
      </c>
      <c r="S105" s="1">
        <v>1123</v>
      </c>
      <c r="T105" s="1">
        <v>298</v>
      </c>
      <c r="U105">
        <f>(N105*(S105-T105)+O105/2000*(S105^2-T105^2)+P105/(3*10^6)*(S105^3-T105^3)+Q105/(4*10^9)*(S105^4-T105^4)-(10^6*R105)*(1/T105-1/S105))/1000</f>
        <v>43.953456408917837</v>
      </c>
    </row>
    <row r="106" spans="1:24" x14ac:dyDescent="0.2">
      <c r="A106">
        <v>799</v>
      </c>
      <c r="B106">
        <f t="shared" si="3"/>
        <v>0.79900000000000004</v>
      </c>
      <c r="C106">
        <f t="shared" si="6"/>
        <v>526</v>
      </c>
      <c r="D106" s="17">
        <f t="shared" si="11"/>
        <v>6.2877939293584373E-2</v>
      </c>
      <c r="E106" s="17">
        <f t="shared" si="11"/>
        <v>0.24102241555131912</v>
      </c>
      <c r="F106" s="17">
        <f t="shared" si="11"/>
        <v>1.4237078737822942E-2</v>
      </c>
      <c r="G106" s="17">
        <f t="shared" si="11"/>
        <v>3.1431413690918723E-2</v>
      </c>
      <c r="H106" s="17">
        <f t="shared" si="11"/>
        <v>5.1423427430145753E-2</v>
      </c>
      <c r="K106" t="s">
        <v>56</v>
      </c>
      <c r="L106">
        <v>-1</v>
      </c>
      <c r="M106" s="1">
        <v>-393.5</v>
      </c>
      <c r="N106" s="1">
        <v>24.997350000000001</v>
      </c>
      <c r="O106" s="1">
        <v>55.186959999999999</v>
      </c>
      <c r="P106" s="1">
        <v>-33.691369999999999</v>
      </c>
      <c r="Q106" s="1">
        <v>7.9483870000000003</v>
      </c>
      <c r="R106" s="1">
        <v>-0.13663800000000001</v>
      </c>
      <c r="S106" s="1">
        <v>1123</v>
      </c>
      <c r="T106" s="1">
        <v>298</v>
      </c>
      <c r="U106">
        <f>(N106*(S106-T106)+O106/2000*(S106^2-T106^2)+P106/(3*10^6)*(S106^3-T106^3)+Q106/(4*10^9)*(S106^4-T106^4)-(10^6*R106)*(1/T106-1/S106))/1000</f>
        <v>40.844972825293731</v>
      </c>
    </row>
    <row r="107" spans="1:24" x14ac:dyDescent="0.2">
      <c r="A107">
        <v>800</v>
      </c>
      <c r="B107">
        <f t="shared" si="3"/>
        <v>0.8</v>
      </c>
      <c r="C107">
        <f t="shared" si="6"/>
        <v>527</v>
      </c>
      <c r="D107" s="17">
        <f t="shared" si="11"/>
        <v>6.2927011468499994E-2</v>
      </c>
      <c r="E107" s="17">
        <f t="shared" si="11"/>
        <v>0.24216418687499996</v>
      </c>
      <c r="F107" s="17">
        <f t="shared" si="11"/>
        <v>1.4277739839500002E-2</v>
      </c>
      <c r="G107" s="17">
        <f t="shared" si="11"/>
        <v>3.1438113570499998E-2</v>
      </c>
      <c r="H107" s="17">
        <f t="shared" si="11"/>
        <v>5.1440518469000003E-2</v>
      </c>
      <c r="K107" t="s">
        <v>59</v>
      </c>
      <c r="L107">
        <v>2</v>
      </c>
      <c r="M107" s="1">
        <v>-110.5</v>
      </c>
      <c r="N107" s="1">
        <v>25.567589999999999</v>
      </c>
      <c r="O107" s="1">
        <v>6.0961299999999996</v>
      </c>
      <c r="P107" s="1">
        <v>4.0546559999999996</v>
      </c>
      <c r="Q107" s="1">
        <v>-2.6713010000000001</v>
      </c>
      <c r="R107" s="1">
        <v>0.131021</v>
      </c>
      <c r="S107" s="1">
        <v>1123</v>
      </c>
      <c r="T107" s="1">
        <v>298</v>
      </c>
      <c r="U107">
        <f>(N107*(S107-T107)+O107/2000*(S107^2-T107^2)+P107/(3*10^6)*(S107^3-T107^3)+Q107/(4*10^9)*(S107^4-T107^4)-(10^6*R107)*(1/T107-1/S107))/1000</f>
        <v>25.165079343686738</v>
      </c>
    </row>
    <row r="108" spans="1:24" x14ac:dyDescent="0.2">
      <c r="A108">
        <v>801</v>
      </c>
      <c r="B108">
        <f t="shared" si="3"/>
        <v>0.80100000000000005</v>
      </c>
      <c r="C108">
        <f t="shared" si="6"/>
        <v>528</v>
      </c>
      <c r="D108" s="17">
        <f t="shared" si="11"/>
        <v>6.29760366816009E-2</v>
      </c>
      <c r="E108" s="17">
        <f t="shared" si="11"/>
        <v>0.2433114982713302</v>
      </c>
      <c r="F108" s="17">
        <f t="shared" si="11"/>
        <v>1.431826429355207E-2</v>
      </c>
      <c r="G108" s="17">
        <f t="shared" si="11"/>
        <v>3.1444810556524871E-2</v>
      </c>
      <c r="H108" s="17">
        <f t="shared" si="11"/>
        <v>5.1457578275833429E-2</v>
      </c>
      <c r="K108" t="s">
        <v>18</v>
      </c>
      <c r="L108">
        <v>2</v>
      </c>
      <c r="M108" s="1">
        <v>0</v>
      </c>
      <c r="N108" s="1">
        <v>33.066178000000001</v>
      </c>
      <c r="O108" s="1">
        <v>-11.363417</v>
      </c>
      <c r="P108" s="1">
        <v>11.432816000000001</v>
      </c>
      <c r="Q108" s="1">
        <v>-2.7728739999999998</v>
      </c>
      <c r="R108" s="1">
        <v>-9.9807970000000008</v>
      </c>
      <c r="S108" s="1">
        <v>1123</v>
      </c>
      <c r="T108" s="1">
        <v>298</v>
      </c>
      <c r="U108">
        <f>(N108*(S108-T108)+O108/2000*(S108^2-T108^2)+P108/(3*10^6)*(S108^3-T108^3)+Q108/(4*10^9)*(S108^4-T108^4)-(10^6*R108)*(1/T108-1/S108))/1000</f>
        <v>49.423098167800795</v>
      </c>
    </row>
    <row r="109" spans="1:24" x14ac:dyDescent="0.2">
      <c r="A109">
        <v>802</v>
      </c>
      <c r="B109">
        <f t="shared" si="3"/>
        <v>0.80200000000000005</v>
      </c>
      <c r="C109">
        <f t="shared" si="6"/>
        <v>529</v>
      </c>
      <c r="D109" s="17">
        <f t="shared" si="11"/>
        <v>6.3025014918518946E-2</v>
      </c>
      <c r="E109" s="17">
        <f t="shared" si="11"/>
        <v>0.24446436430434507</v>
      </c>
      <c r="F109" s="17">
        <f t="shared" si="11"/>
        <v>1.4358652812081424E-2</v>
      </c>
      <c r="G109" s="17">
        <f t="shared" si="11"/>
        <v>3.1451504618689709E-2</v>
      </c>
      <c r="H109" s="17">
        <f t="shared" si="11"/>
        <v>5.1474606908312862E-2</v>
      </c>
      <c r="M109">
        <f>SUMPRODUCT(L105:L108,M105:M108)</f>
        <v>247.10000000000002</v>
      </c>
      <c r="U109">
        <f>SUMPRODUCT(L105:L108,U105:U108)</f>
        <v>64.377925788763491</v>
      </c>
      <c r="W109">
        <f>SUM(M109,U109)</f>
        <v>311.47792578876351</v>
      </c>
      <c r="X109" t="s">
        <v>112</v>
      </c>
    </row>
    <row r="110" spans="1:24" x14ac:dyDescent="0.2">
      <c r="A110">
        <v>803</v>
      </c>
      <c r="B110">
        <f t="shared" si="3"/>
        <v>0.80300000000000005</v>
      </c>
      <c r="C110">
        <f t="shared" si="6"/>
        <v>530</v>
      </c>
      <c r="D110" s="17">
        <f t="shared" ref="D110:H119" si="12">(D$73+D$74*$B110+D$75*($B110^2)+D$76*($B110^3)+D$77/($B110^2))/1000</f>
        <v>6.3073946165194308E-2</v>
      </c>
      <c r="E110" s="17">
        <f t="shared" si="12"/>
        <v>0.24562279953983468</v>
      </c>
      <c r="F110" s="17">
        <f t="shared" si="12"/>
        <v>1.4398906102655562E-2</v>
      </c>
      <c r="G110" s="17">
        <f t="shared" si="12"/>
        <v>3.145819572693058E-2</v>
      </c>
      <c r="H110" s="17">
        <f t="shared" si="12"/>
        <v>5.1491604424043082E-2</v>
      </c>
      <c r="J110" t="s">
        <v>82</v>
      </c>
      <c r="K110" t="s">
        <v>44</v>
      </c>
      <c r="L110">
        <v>-1</v>
      </c>
    </row>
    <row r="111" spans="1:24" x14ac:dyDescent="0.2">
      <c r="A111">
        <v>804</v>
      </c>
      <c r="B111">
        <f t="shared" si="3"/>
        <v>0.80400000000000005</v>
      </c>
      <c r="C111">
        <f t="shared" si="6"/>
        <v>531</v>
      </c>
      <c r="D111" s="17">
        <f t="shared" si="12"/>
        <v>6.3122830407873198E-2</v>
      </c>
      <c r="E111" s="17">
        <f t="shared" si="12"/>
        <v>0.24678681854532453</v>
      </c>
      <c r="F111" s="17">
        <f t="shared" si="12"/>
        <v>1.4439024868341038E-2</v>
      </c>
      <c r="G111" s="17">
        <f t="shared" si="12"/>
        <v>3.1464883851421488E-2</v>
      </c>
      <c r="H111" s="17">
        <f t="shared" si="12"/>
        <v>5.1508570880567178E-2</v>
      </c>
      <c r="K111" t="s">
        <v>49</v>
      </c>
      <c r="L111">
        <v>1</v>
      </c>
    </row>
    <row r="112" spans="1:24" x14ac:dyDescent="0.2">
      <c r="A112">
        <v>805</v>
      </c>
      <c r="B112">
        <f t="shared" si="3"/>
        <v>0.80500000000000005</v>
      </c>
      <c r="C112">
        <f t="shared" si="6"/>
        <v>532</v>
      </c>
      <c r="D112" s="17">
        <f t="shared" si="12"/>
        <v>6.3171667633105527E-2</v>
      </c>
      <c r="E112" s="17">
        <f t="shared" si="12"/>
        <v>0.24795643589006819</v>
      </c>
      <c r="F112" s="17">
        <f t="shared" si="12"/>
        <v>1.447900980773695E-2</v>
      </c>
      <c r="G112" s="17">
        <f t="shared" si="12"/>
        <v>3.1471568962572596E-2</v>
      </c>
      <c r="H112" s="17">
        <f t="shared" si="12"/>
        <v>5.1525506335367156E-2</v>
      </c>
      <c r="K112" t="s">
        <v>18</v>
      </c>
      <c r="L112">
        <v>2</v>
      </c>
    </row>
    <row r="113" spans="1:24" x14ac:dyDescent="0.2">
      <c r="A113">
        <v>806</v>
      </c>
      <c r="B113">
        <f t="shared" si="3"/>
        <v>0.80600000000000005</v>
      </c>
      <c r="C113">
        <f t="shared" si="6"/>
        <v>533</v>
      </c>
      <c r="D113" s="17">
        <f t="shared" si="12"/>
        <v>6.322045782774266E-2</v>
      </c>
      <c r="E113" s="17">
        <f t="shared" si="12"/>
        <v>0.24913166614503021</v>
      </c>
      <c r="F113" s="17">
        <f t="shared" si="12"/>
        <v>1.4518861615008219E-2</v>
      </c>
      <c r="G113" s="17">
        <f t="shared" si="12"/>
        <v>3.1478251031028449E-2</v>
      </c>
      <c r="H113" s="17">
        <f t="shared" si="12"/>
        <v>5.1542410845864257E-2</v>
      </c>
      <c r="W113" t="s">
        <v>115</v>
      </c>
    </row>
    <row r="114" spans="1:24" x14ac:dyDescent="0.2">
      <c r="A114">
        <v>807</v>
      </c>
      <c r="B114">
        <f t="shared" si="3"/>
        <v>0.80700000000000005</v>
      </c>
      <c r="C114">
        <f t="shared" si="6"/>
        <v>534</v>
      </c>
      <c r="D114" s="17">
        <f t="shared" si="12"/>
        <v>6.3269200978935236E-2</v>
      </c>
      <c r="E114" s="17">
        <f t="shared" si="12"/>
        <v>0.25031252388287661</v>
      </c>
      <c r="F114" s="17">
        <f t="shared" si="12"/>
        <v>1.4558580979918511E-2</v>
      </c>
      <c r="G114" s="17">
        <f t="shared" si="12"/>
        <v>3.1484930027666273E-2</v>
      </c>
      <c r="H114" s="17">
        <f t="shared" si="12"/>
        <v>5.1559284469419514E-2</v>
      </c>
      <c r="J114" t="s">
        <v>83</v>
      </c>
      <c r="K114" t="s">
        <v>60</v>
      </c>
      <c r="L114">
        <v>-1</v>
      </c>
      <c r="M114" s="1">
        <v>84</v>
      </c>
      <c r="N114" t="s">
        <v>57</v>
      </c>
      <c r="O114" t="s">
        <v>57</v>
      </c>
      <c r="P114" t="s">
        <v>57</v>
      </c>
      <c r="Q114" t="s">
        <v>57</v>
      </c>
      <c r="R114" t="s">
        <v>57</v>
      </c>
      <c r="S114" s="1">
        <v>1123</v>
      </c>
      <c r="T114" s="1">
        <v>298</v>
      </c>
      <c r="U114" s="2">
        <f>U100</f>
        <v>43.953456408917837</v>
      </c>
    </row>
    <row r="115" spans="1:24" x14ac:dyDescent="0.2">
      <c r="A115">
        <v>808</v>
      </c>
      <c r="B115">
        <f t="shared" si="3"/>
        <v>0.80800000000000005</v>
      </c>
      <c r="C115">
        <f t="shared" si="6"/>
        <v>535</v>
      </c>
      <c r="D115" s="17">
        <f t="shared" si="12"/>
        <v>6.3317897074130838E-2</v>
      </c>
      <c r="E115" s="17">
        <f t="shared" si="12"/>
        <v>0.25149902367795973</v>
      </c>
      <c r="F115" s="17">
        <f t="shared" si="12"/>
        <v>1.4598168587862913E-2</v>
      </c>
      <c r="G115" s="17">
        <f t="shared" si="12"/>
        <v>3.1491605923594214E-2</v>
      </c>
      <c r="H115" s="17">
        <f t="shared" si="12"/>
        <v>5.1576127263334125E-2</v>
      </c>
      <c r="K115" t="s">
        <v>54</v>
      </c>
      <c r="L115">
        <v>-2</v>
      </c>
      <c r="M115" s="1">
        <v>-241.8</v>
      </c>
      <c r="N115" s="1">
        <v>-203.60599999999999</v>
      </c>
      <c r="O115" s="1">
        <v>1523.29</v>
      </c>
      <c r="P115" s="1">
        <v>-3196.413</v>
      </c>
      <c r="Q115" s="1">
        <v>2474.2550000000001</v>
      </c>
      <c r="R115" s="1">
        <v>3.8553259999999998</v>
      </c>
      <c r="S115" s="1">
        <v>1123</v>
      </c>
      <c r="T115" s="1">
        <v>298</v>
      </c>
      <c r="U115">
        <f>(N115*(S115-T115)+O115/2000*(S115^2-T115^2)+P115/(3*10^6)*(S115^3-T115^3)+Q115/(4*10^9)*(S115^4-T115^4)-(10^6*R115)*(1/T115-1/S115))/1000</f>
        <v>213.55578197380802</v>
      </c>
    </row>
    <row r="116" spans="1:24" x14ac:dyDescent="0.2">
      <c r="A116">
        <v>809</v>
      </c>
      <c r="B116">
        <f t="shared" si="3"/>
        <v>0.80900000000000005</v>
      </c>
      <c r="C116">
        <f t="shared" si="6"/>
        <v>536</v>
      </c>
      <c r="D116" s="17">
        <f t="shared" si="12"/>
        <v>6.3366546101071911E-2</v>
      </c>
      <c r="E116" s="17">
        <f t="shared" si="12"/>
        <v>0.25269118010630787</v>
      </c>
      <c r="F116" s="17">
        <f t="shared" si="12"/>
        <v>1.4637625119900294E-2</v>
      </c>
      <c r="G116" s="17">
        <f t="shared" si="12"/>
        <v>3.1498278690149629E-2</v>
      </c>
      <c r="H116" s="17">
        <f t="shared" si="12"/>
        <v>5.1592939284849933E-2</v>
      </c>
      <c r="K116" t="s">
        <v>59</v>
      </c>
      <c r="L116">
        <v>2</v>
      </c>
      <c r="M116" s="1">
        <v>-110.5</v>
      </c>
      <c r="N116" s="1">
        <v>25.567589999999999</v>
      </c>
      <c r="O116" s="1">
        <v>6.0961299999999996</v>
      </c>
      <c r="P116" s="1">
        <v>4.0546559999999996</v>
      </c>
      <c r="Q116" s="1">
        <v>-2.6713010000000001</v>
      </c>
      <c r="R116" s="1">
        <v>0.131021</v>
      </c>
      <c r="S116" s="1">
        <v>1123</v>
      </c>
      <c r="T116" s="1">
        <v>298</v>
      </c>
      <c r="U116">
        <f>(N116*(S116-T116)+O116/2000*(S116^2-T116^2)+P116/(3*10^6)*(S116^3-T116^3)+Q116/(4*10^9)*(S116^4-T116^4)-(10^6*R116)*(1/T116-1/S116))/1000</f>
        <v>25.165079343686738</v>
      </c>
    </row>
    <row r="117" spans="1:24" x14ac:dyDescent="0.2">
      <c r="A117">
        <v>810</v>
      </c>
      <c r="B117">
        <f t="shared" si="3"/>
        <v>0.81</v>
      </c>
      <c r="C117">
        <f t="shared" si="6"/>
        <v>537</v>
      </c>
      <c r="D117" s="17">
        <f t="shared" si="12"/>
        <v>6.3415148047793482E-2</v>
      </c>
      <c r="E117" s="17">
        <f t="shared" si="12"/>
        <v>0.25388900774561113</v>
      </c>
      <c r="F117" s="17">
        <f t="shared" si="12"/>
        <v>1.4676951252785418E-2</v>
      </c>
      <c r="G117" s="17">
        <f t="shared" si="12"/>
        <v>3.1504948298897405E-2</v>
      </c>
      <c r="H117" s="17">
        <f t="shared" si="12"/>
        <v>5.1609720591149849E-2</v>
      </c>
      <c r="K117" t="s">
        <v>18</v>
      </c>
      <c r="L117">
        <v>5</v>
      </c>
      <c r="M117" s="1">
        <v>0</v>
      </c>
      <c r="N117" s="1">
        <v>33.066178000000001</v>
      </c>
      <c r="O117" s="1">
        <v>-11.363417</v>
      </c>
      <c r="P117" s="1">
        <v>11.432816000000001</v>
      </c>
      <c r="Q117" s="1">
        <v>-2.7728739999999998</v>
      </c>
      <c r="R117" s="1">
        <v>-9.9807970000000008</v>
      </c>
      <c r="S117" s="1">
        <v>1123</v>
      </c>
      <c r="T117" s="1">
        <v>298</v>
      </c>
      <c r="U117">
        <f>(N117*(S117-T117)+O117/2000*(S117^2-T117^2)+P117/(3*10^6)*(S117^3-T117^3)+Q117/(4*10^9)*(S117^4-T117^4)-(10^6*R117)*(1/T117-1/S117))/1000</f>
        <v>49.423098167800795</v>
      </c>
    </row>
    <row r="118" spans="1:24" x14ac:dyDescent="0.2">
      <c r="A118">
        <v>811</v>
      </c>
      <c r="B118">
        <f t="shared" si="3"/>
        <v>0.81100000000000005</v>
      </c>
      <c r="C118">
        <f t="shared" si="6"/>
        <v>538</v>
      </c>
      <c r="D118" s="17">
        <f t="shared" si="12"/>
        <v>6.3463702902621072E-2</v>
      </c>
      <c r="E118" s="17">
        <f t="shared" si="12"/>
        <v>0.25509252117521103</v>
      </c>
      <c r="F118" s="17">
        <f t="shared" si="12"/>
        <v>1.4716147659000778E-2</v>
      </c>
      <c r="G118" s="17">
        <f t="shared" si="12"/>
        <v>3.1511614721628264E-2</v>
      </c>
      <c r="H118" s="17">
        <f t="shared" si="12"/>
        <v>5.1626471239358339E-2</v>
      </c>
      <c r="M118">
        <f>SUMPRODUCT(L114:L117,M114:M117)</f>
        <v>178.60000000000002</v>
      </c>
      <c r="U118">
        <f>SUMPRODUCT(L114:L117,U114:U117)</f>
        <v>-173.61937083015644</v>
      </c>
      <c r="W118">
        <f>SUM(M118,U118)</f>
        <v>4.9806291698435814</v>
      </c>
      <c r="X118" t="s">
        <v>112</v>
      </c>
    </row>
    <row r="119" spans="1:24" x14ac:dyDescent="0.2">
      <c r="A119">
        <v>812</v>
      </c>
      <c r="B119">
        <f t="shared" si="3"/>
        <v>0.81200000000000006</v>
      </c>
      <c r="C119">
        <f t="shared" si="6"/>
        <v>539</v>
      </c>
      <c r="D119" s="17">
        <f t="shared" si="12"/>
        <v>6.3512210654168524E-2</v>
      </c>
      <c r="E119" s="17">
        <f t="shared" si="12"/>
        <v>0.25630173497608505</v>
      </c>
      <c r="F119" s="17">
        <f t="shared" si="12"/>
        <v>1.4755215006788122E-2</v>
      </c>
      <c r="G119" s="17">
        <f t="shared" si="12"/>
        <v>3.1518277930357122E-2</v>
      </c>
      <c r="H119" s="17">
        <f t="shared" si="12"/>
        <v>5.164319128654174E-2</v>
      </c>
    </row>
    <row r="120" spans="1:24" x14ac:dyDescent="0.2">
      <c r="A120">
        <v>813</v>
      </c>
      <c r="B120">
        <f t="shared" si="3"/>
        <v>0.81299999999999994</v>
      </c>
      <c r="C120">
        <f t="shared" si="6"/>
        <v>540</v>
      </c>
      <c r="D120" s="17">
        <f t="shared" ref="D120:H129" si="13">(D$73+D$74*$B120+D$75*($B120^2)+D$76*($B120^3)+D$77/($B120^2))/1000</f>
        <v>6.3560671291335788E-2</v>
      </c>
      <c r="E120" s="17">
        <f t="shared" si="13"/>
        <v>0.2575166637308392</v>
      </c>
      <c r="F120" s="17">
        <f t="shared" si="13"/>
        <v>1.4794153960179749E-2</v>
      </c>
      <c r="G120" s="17">
        <f t="shared" si="13"/>
        <v>3.1524937897321366E-2</v>
      </c>
      <c r="H120" s="17">
        <f t="shared" si="13"/>
        <v>5.1659880789708831E-2</v>
      </c>
    </row>
    <row r="121" spans="1:24" x14ac:dyDescent="0.2">
      <c r="A121">
        <v>814</v>
      </c>
      <c r="B121">
        <f t="shared" si="3"/>
        <v>0.81399999999999995</v>
      </c>
      <c r="C121">
        <f t="shared" si="6"/>
        <v>541</v>
      </c>
      <c r="D121" s="17">
        <f t="shared" si="13"/>
        <v>6.3609084803307001E-2</v>
      </c>
      <c r="E121" s="17">
        <f t="shared" si="13"/>
        <v>0.25873732202369143</v>
      </c>
      <c r="F121" s="17">
        <f t="shared" si="13"/>
        <v>1.4832965179029513E-2</v>
      </c>
      <c r="G121" s="17">
        <f t="shared" si="13"/>
        <v>3.1531594594979326E-2</v>
      </c>
      <c r="H121" s="17">
        <f t="shared" si="13"/>
        <v>5.1676539805811127E-2</v>
      </c>
    </row>
    <row r="122" spans="1:24" x14ac:dyDescent="0.2">
      <c r="A122">
        <v>815</v>
      </c>
      <c r="B122">
        <f t="shared" si="3"/>
        <v>0.81499999999999995</v>
      </c>
      <c r="C122">
        <f t="shared" si="6"/>
        <v>542</v>
      </c>
      <c r="D122" s="17">
        <f t="shared" si="13"/>
        <v>6.3657451179548255E-2</v>
      </c>
      <c r="E122" s="17">
        <f t="shared" si="13"/>
        <v>0.25996372444046334</v>
      </c>
      <c r="F122" s="17">
        <f t="shared" si="13"/>
        <v>1.4871649319043547E-2</v>
      </c>
      <c r="G122" s="17">
        <f t="shared" si="13"/>
        <v>3.153824799600851E-2</v>
      </c>
      <c r="H122" s="17">
        <f t="shared" si="13"/>
        <v>5.1693168391743399E-2</v>
      </c>
    </row>
    <row r="123" spans="1:24" x14ac:dyDescent="0.2">
      <c r="A123">
        <v>816</v>
      </c>
      <c r="B123">
        <f t="shared" si="3"/>
        <v>0.81599999999999995</v>
      </c>
      <c r="C123">
        <f t="shared" si="6"/>
        <v>543</v>
      </c>
      <c r="D123" s="17">
        <f t="shared" si="13"/>
        <v>6.3705770409805532E-2</v>
      </c>
      <c r="E123" s="17">
        <f t="shared" si="13"/>
        <v>0.26119588556856577</v>
      </c>
      <c r="F123" s="17">
        <f t="shared" si="13"/>
        <v>1.4910207031810768E-2</v>
      </c>
      <c r="G123" s="17">
        <f t="shared" si="13"/>
        <v>3.1544898073304149E-2</v>
      </c>
      <c r="H123" s="17">
        <f t="shared" si="13"/>
        <v>5.1709766604344072E-2</v>
      </c>
    </row>
    <row r="124" spans="1:24" x14ac:dyDescent="0.2">
      <c r="A124">
        <v>817</v>
      </c>
      <c r="B124">
        <f t="shared" si="3"/>
        <v>0.81699999999999995</v>
      </c>
      <c r="C124">
        <f t="shared" si="6"/>
        <v>544</v>
      </c>
      <c r="D124" s="17">
        <f t="shared" si="13"/>
        <v>6.3754042484102658E-2</v>
      </c>
      <c r="E124" s="17">
        <f t="shared" si="13"/>
        <v>0.26243381999699</v>
      </c>
      <c r="F124" s="17">
        <f t="shared" si="13"/>
        <v>1.4948638964833109E-2</v>
      </c>
      <c r="G124" s="17">
        <f t="shared" si="13"/>
        <v>3.155154479997746E-2</v>
      </c>
      <c r="H124" s="17">
        <f t="shared" si="13"/>
        <v>5.1726334500395578E-2</v>
      </c>
    </row>
    <row r="125" spans="1:24" x14ac:dyDescent="0.2">
      <c r="A125">
        <v>818</v>
      </c>
      <c r="B125">
        <f t="shared" si="3"/>
        <v>0.81799999999999995</v>
      </c>
      <c r="C125">
        <f t="shared" si="6"/>
        <v>545</v>
      </c>
      <c r="D125" s="17">
        <f t="shared" si="13"/>
        <v>6.3802267392739392E-2</v>
      </c>
      <c r="E125" s="17">
        <f t="shared" si="13"/>
        <v>0.26367754231629137</v>
      </c>
      <c r="F125" s="17">
        <f t="shared" si="13"/>
        <v>1.4986945761555428E-2</v>
      </c>
      <c r="G125" s="17">
        <f t="shared" si="13"/>
        <v>3.1558188149354148E-2</v>
      </c>
      <c r="H125" s="17">
        <f t="shared" si="13"/>
        <v>5.1742872136624804E-2</v>
      </c>
    </row>
    <row r="126" spans="1:24" x14ac:dyDescent="0.2">
      <c r="A126">
        <v>819</v>
      </c>
      <c r="B126">
        <f t="shared" si="3"/>
        <v>0.81899999999999995</v>
      </c>
      <c r="C126">
        <f t="shared" si="6"/>
        <v>546</v>
      </c>
      <c r="D126" s="17">
        <f t="shared" si="13"/>
        <v>6.3850445126289179E-2</v>
      </c>
      <c r="E126" s="17">
        <f t="shared" si="13"/>
        <v>0.26492706711858438</v>
      </c>
      <c r="F126" s="17">
        <f t="shared" si="13"/>
        <v>1.5025128061395233E-2</v>
      </c>
      <c r="G126" s="17">
        <f t="shared" si="13"/>
        <v>3.1564828094972824E-2</v>
      </c>
      <c r="H126" s="17">
        <f t="shared" si="13"/>
        <v>5.1759379569703556E-2</v>
      </c>
    </row>
    <row r="127" spans="1:24" x14ac:dyDescent="0.2">
      <c r="A127">
        <v>820</v>
      </c>
      <c r="B127">
        <f t="shared" si="3"/>
        <v>0.82</v>
      </c>
      <c r="C127">
        <f t="shared" si="6"/>
        <v>547</v>
      </c>
      <c r="D127" s="17">
        <f t="shared" si="13"/>
        <v>6.3898575675597327E-2</v>
      </c>
      <c r="E127" s="17">
        <f t="shared" si="13"/>
        <v>0.26618240899752527</v>
      </c>
      <c r="F127" s="17">
        <f t="shared" si="13"/>
        <v>1.5063186499772157E-2</v>
      </c>
      <c r="G127" s="17">
        <f t="shared" si="13"/>
        <v>3.1571464610583383E-2</v>
      </c>
      <c r="H127" s="17">
        <f t="shared" si="13"/>
        <v>5.1775856856248831E-2</v>
      </c>
    </row>
    <row r="128" spans="1:24" x14ac:dyDescent="0.2">
      <c r="A128">
        <v>821</v>
      </c>
      <c r="B128">
        <f t="shared" ref="B128:B191" si="14">A128/1000</f>
        <v>0.82099999999999995</v>
      </c>
      <c r="C128">
        <f t="shared" si="6"/>
        <v>548</v>
      </c>
      <c r="D128" s="17">
        <f t="shared" si="13"/>
        <v>6.3946659031778957E-2</v>
      </c>
      <c r="E128" s="17">
        <f t="shared" si="13"/>
        <v>0.26744358254830458</v>
      </c>
      <c r="F128" s="17">
        <f t="shared" si="13"/>
        <v>1.5101121708137148E-2</v>
      </c>
      <c r="G128" s="17">
        <f t="shared" si="13"/>
        <v>3.157809767014557E-2</v>
      </c>
      <c r="H128" s="17">
        <f t="shared" si="13"/>
        <v>5.1792304052823368E-2</v>
      </c>
    </row>
    <row r="129" spans="1:8" x14ac:dyDescent="0.2">
      <c r="A129">
        <v>822</v>
      </c>
      <c r="B129">
        <f t="shared" si="14"/>
        <v>0.82199999999999995</v>
      </c>
      <c r="C129">
        <f t="shared" si="6"/>
        <v>549</v>
      </c>
      <c r="D129" s="17">
        <f t="shared" si="13"/>
        <v>6.399469518621706E-2</v>
      </c>
      <c r="E129" s="17">
        <f t="shared" si="13"/>
        <v>0.26871060236763383</v>
      </c>
      <c r="F129" s="17">
        <f t="shared" si="13"/>
        <v>1.5138934314001389E-2</v>
      </c>
      <c r="G129" s="17">
        <f t="shared" si="13"/>
        <v>3.1584727247827356E-2</v>
      </c>
      <c r="H129" s="17">
        <f t="shared" si="13"/>
        <v>5.180872121593591E-2</v>
      </c>
    </row>
    <row r="130" spans="1:8" x14ac:dyDescent="0.2">
      <c r="A130">
        <v>823</v>
      </c>
      <c r="B130">
        <f t="shared" si="14"/>
        <v>0.82299999999999995</v>
      </c>
      <c r="C130">
        <f t="shared" si="6"/>
        <v>550</v>
      </c>
      <c r="D130" s="17">
        <f t="shared" ref="D130:H139" si="15">(D$73+D$74*$B130+D$75*($B130^2)+D$76*($B130^3)+D$77/($B130^2))/1000</f>
        <v>6.4042684130560495E-2</v>
      </c>
      <c r="E130" s="17">
        <f t="shared" si="15"/>
        <v>0.26998348305373615</v>
      </c>
      <c r="F130" s="17">
        <f t="shared" si="15"/>
        <v>1.5176624940965035E-2</v>
      </c>
      <c r="G130" s="17">
        <f t="shared" si="15"/>
        <v>3.1591353318003466E-2</v>
      </c>
      <c r="H130" s="17">
        <f t="shared" si="15"/>
        <v>5.1825108402041714E-2</v>
      </c>
    </row>
    <row r="131" spans="1:8" x14ac:dyDescent="0.2">
      <c r="A131">
        <v>824</v>
      </c>
      <c r="B131">
        <f t="shared" si="14"/>
        <v>0.82399999999999995</v>
      </c>
      <c r="C131">
        <f t="shared" si="6"/>
        <v>551</v>
      </c>
      <c r="D131" s="17">
        <f t="shared" si="15"/>
        <v>6.4090625856722122E-2</v>
      </c>
      <c r="E131" s="17">
        <f t="shared" si="15"/>
        <v>0.27126223920633397</v>
      </c>
      <c r="F131" s="17">
        <f t="shared" si="15"/>
        <v>1.5214194208745646E-2</v>
      </c>
      <c r="G131" s="17">
        <f t="shared" si="15"/>
        <v>3.1597975855253861E-2</v>
      </c>
      <c r="H131" s="17">
        <f t="shared" si="15"/>
        <v>5.1841465667542851E-2</v>
      </c>
    </row>
    <row r="132" spans="1:8" x14ac:dyDescent="0.2">
      <c r="A132">
        <v>825</v>
      </c>
      <c r="B132">
        <f t="shared" si="14"/>
        <v>0.82499999999999996</v>
      </c>
      <c r="C132">
        <f t="shared" si="6"/>
        <v>552</v>
      </c>
      <c r="D132" s="17">
        <f t="shared" si="15"/>
        <v>6.4138520356876783E-2</v>
      </c>
      <c r="E132" s="17">
        <f t="shared" si="15"/>
        <v>0.2725468854266388</v>
      </c>
      <c r="F132" s="17">
        <f t="shared" si="15"/>
        <v>1.5251642733206464E-2</v>
      </c>
      <c r="G132" s="17">
        <f t="shared" si="15"/>
        <v>3.1604594834362253E-2</v>
      </c>
      <c r="H132" s="17">
        <f t="shared" si="15"/>
        <v>5.1857793068788613E-2</v>
      </c>
    </row>
    <row r="133" spans="1:8" x14ac:dyDescent="0.2">
      <c r="A133">
        <v>826</v>
      </c>
      <c r="B133">
        <f t="shared" si="14"/>
        <v>0.82599999999999996</v>
      </c>
      <c r="C133">
        <f t="shared" si="6"/>
        <v>553</v>
      </c>
      <c r="D133" s="17">
        <f t="shared" si="15"/>
        <v>6.4186367623459514E-2</v>
      </c>
      <c r="E133" s="17">
        <f t="shared" si="15"/>
        <v>0.27383743631733881</v>
      </c>
      <c r="F133" s="17">
        <f t="shared" si="15"/>
        <v>1.5288971126384329E-2</v>
      </c>
      <c r="G133" s="17">
        <f t="shared" si="15"/>
        <v>3.1611210230314629E-2</v>
      </c>
      <c r="H133" s="17">
        <f t="shared" si="15"/>
        <v>5.1874090662075927E-2</v>
      </c>
    </row>
    <row r="134" spans="1:8" x14ac:dyDescent="0.2">
      <c r="A134">
        <v>827</v>
      </c>
      <c r="B134">
        <f t="shared" si="14"/>
        <v>0.82699999999999996</v>
      </c>
      <c r="C134">
        <f t="shared" si="6"/>
        <v>554</v>
      </c>
      <c r="D134" s="17">
        <f t="shared" si="15"/>
        <v>6.4234167649163648E-2</v>
      </c>
      <c r="E134" s="17">
        <f t="shared" si="15"/>
        <v>0.27513390648259234</v>
      </c>
      <c r="F134" s="17">
        <f t="shared" si="15"/>
        <v>1.5326179996517445E-2</v>
      </c>
      <c r="G134" s="17">
        <f t="shared" si="15"/>
        <v>3.1617822018297763E-2</v>
      </c>
      <c r="H134" s="17">
        <f t="shared" si="15"/>
        <v>5.1890358503649744E-2</v>
      </c>
    </row>
    <row r="135" spans="1:8" x14ac:dyDescent="0.2">
      <c r="A135">
        <v>828</v>
      </c>
      <c r="B135">
        <f t="shared" si="14"/>
        <v>0.82799999999999996</v>
      </c>
      <c r="C135">
        <f t="shared" si="6"/>
        <v>555</v>
      </c>
      <c r="D135" s="17">
        <f t="shared" si="15"/>
        <v>6.4281920426938796E-2</v>
      </c>
      <c r="E135" s="17">
        <f t="shared" si="15"/>
        <v>0.27643631052801099</v>
      </c>
      <c r="F135" s="17">
        <f t="shared" si="15"/>
        <v>1.5363269948072902E-2</v>
      </c>
      <c r="G135" s="17">
        <f t="shared" si="15"/>
        <v>3.1624430173697787E-2</v>
      </c>
      <c r="H135" s="17">
        <f t="shared" si="15"/>
        <v>5.1906596649703325E-2</v>
      </c>
    </row>
    <row r="136" spans="1:8" x14ac:dyDescent="0.2">
      <c r="A136">
        <v>829</v>
      </c>
      <c r="B136">
        <f t="shared" si="14"/>
        <v>0.82899999999999996</v>
      </c>
      <c r="C136">
        <f t="shared" si="6"/>
        <v>556</v>
      </c>
      <c r="D136" s="17">
        <f t="shared" si="15"/>
        <v>6.4329625949989214E-2</v>
      </c>
      <c r="E136" s="17">
        <f t="shared" si="15"/>
        <v>0.27774466306065582</v>
      </c>
      <c r="F136" s="17">
        <f t="shared" si="15"/>
        <v>1.5400241581773947E-2</v>
      </c>
      <c r="G136" s="17">
        <f t="shared" si="15"/>
        <v>3.1631034672098733E-2</v>
      </c>
      <c r="H136" s="17">
        <f t="shared" si="15"/>
        <v>5.1922805156378746E-2</v>
      </c>
    </row>
    <row r="137" spans="1:8" x14ac:dyDescent="0.2">
      <c r="A137">
        <v>830</v>
      </c>
      <c r="B137">
        <f t="shared" si="14"/>
        <v>0.83</v>
      </c>
      <c r="C137">
        <f t="shared" si="6"/>
        <v>557</v>
      </c>
      <c r="D137" s="17">
        <f t="shared" si="15"/>
        <v>6.437728421177176E-2</v>
      </c>
      <c r="E137" s="17">
        <f t="shared" si="15"/>
        <v>0.27905897868902102</v>
      </c>
      <c r="F137" s="17">
        <f t="shared" si="15"/>
        <v>1.5437095494627032E-2</v>
      </c>
      <c r="G137" s="17">
        <f t="shared" si="15"/>
        <v>3.1637635489281106E-2</v>
      </c>
      <c r="H137" s="17">
        <f t="shared" si="15"/>
        <v>5.1938984079767138E-2</v>
      </c>
    </row>
    <row r="138" spans="1:8" x14ac:dyDescent="0.2">
      <c r="A138">
        <v>831</v>
      </c>
      <c r="B138">
        <f t="shared" si="14"/>
        <v>0.83099999999999996</v>
      </c>
      <c r="C138">
        <f t="shared" si="6"/>
        <v>558</v>
      </c>
      <c r="D138" s="17">
        <f t="shared" si="15"/>
        <v>6.4424895205994245E-2</v>
      </c>
      <c r="E138" s="17">
        <f t="shared" si="15"/>
        <v>0.28037927202302682</v>
      </c>
      <c r="F138" s="17">
        <f t="shared" si="15"/>
        <v>1.5473832279948613E-2</v>
      </c>
      <c r="G138" s="17">
        <f t="shared" si="15"/>
        <v>3.1644232601220498E-2</v>
      </c>
      <c r="H138" s="17">
        <f t="shared" si="15"/>
        <v>5.195513347590916E-2</v>
      </c>
    </row>
    <row r="139" spans="1:8" x14ac:dyDescent="0.2">
      <c r="A139">
        <v>832</v>
      </c>
      <c r="B139">
        <f t="shared" si="14"/>
        <v>0.83199999999999996</v>
      </c>
      <c r="C139">
        <f t="shared" si="6"/>
        <v>559</v>
      </c>
      <c r="D139" s="17">
        <f t="shared" si="15"/>
        <v>6.4472458926613477E-2</v>
      </c>
      <c r="E139" s="17">
        <f t="shared" si="15"/>
        <v>0.2817055576740104</v>
      </c>
      <c r="F139" s="17">
        <f t="shared" si="15"/>
        <v>1.5510452527391784E-2</v>
      </c>
      <c r="G139" s="17">
        <f t="shared" si="15"/>
        <v>3.1650825984086098E-2</v>
      </c>
      <c r="H139" s="17">
        <f t="shared" si="15"/>
        <v>5.1971253400795281E-2</v>
      </c>
    </row>
    <row r="140" spans="1:8" x14ac:dyDescent="0.2">
      <c r="A140">
        <v>833</v>
      </c>
      <c r="B140">
        <f t="shared" si="14"/>
        <v>0.83299999999999996</v>
      </c>
      <c r="C140">
        <f t="shared" si="6"/>
        <v>560</v>
      </c>
      <c r="D140" s="17">
        <f t="shared" ref="D140:H149" si="16">(D$73+D$74*$B140+D$75*($B140^2)+D$76*($B140^3)+D$77/($B140^2))/1000</f>
        <v>6.4519975367833549E-2</v>
      </c>
      <c r="E140" s="17">
        <f t="shared" si="16"/>
        <v>0.28303785025471023</v>
      </c>
      <c r="F140" s="17">
        <f t="shared" si="16"/>
        <v>1.5546956822972611E-2</v>
      </c>
      <c r="G140" s="17">
        <f t="shared" si="16"/>
        <v>3.1657415614239411E-2</v>
      </c>
      <c r="H140" s="17">
        <f t="shared" si="16"/>
        <v>5.1987343910366232E-2</v>
      </c>
    </row>
    <row r="141" spans="1:8" x14ac:dyDescent="0.2">
      <c r="A141">
        <v>834</v>
      </c>
      <c r="B141">
        <f t="shared" si="14"/>
        <v>0.83399999999999996</v>
      </c>
      <c r="C141">
        <f t="shared" si="6"/>
        <v>561</v>
      </c>
      <c r="D141" s="17">
        <f t="shared" si="16"/>
        <v>6.4567444524104095E-2</v>
      </c>
      <c r="E141" s="17">
        <f t="shared" si="16"/>
        <v>0.284376164379263</v>
      </c>
      <c r="F141" s="17">
        <f t="shared" si="16"/>
        <v>1.558334574909632E-2</v>
      </c>
      <c r="G141" s="17">
        <f t="shared" si="16"/>
        <v>3.1664001468232776E-2</v>
      </c>
      <c r="H141" s="17">
        <f t="shared" si="16"/>
        <v>5.2003405060513264E-2</v>
      </c>
    </row>
    <row r="142" spans="1:8" x14ac:dyDescent="0.2">
      <c r="A142">
        <v>835</v>
      </c>
      <c r="B142">
        <f t="shared" si="14"/>
        <v>0.83499999999999996</v>
      </c>
      <c r="C142">
        <f t="shared" si="6"/>
        <v>562</v>
      </c>
      <c r="D142" s="17">
        <f t="shared" si="16"/>
        <v>6.4614866390118389E-2</v>
      </c>
      <c r="E142" s="17">
        <f t="shared" si="16"/>
        <v>0.28572051466318787</v>
      </c>
      <c r="F142" s="17">
        <f t="shared" si="16"/>
        <v>1.5619619884583182E-2</v>
      </c>
      <c r="G142" s="17">
        <f t="shared" si="16"/>
        <v>3.1670583522808049E-2</v>
      </c>
      <c r="H142" s="17">
        <f t="shared" si="16"/>
        <v>5.2019436907078567E-2</v>
      </c>
    </row>
    <row r="143" spans="1:8" x14ac:dyDescent="0.2">
      <c r="A143">
        <v>836</v>
      </c>
      <c r="B143">
        <f t="shared" si="14"/>
        <v>0.83599999999999997</v>
      </c>
      <c r="C143">
        <f t="shared" si="6"/>
        <v>563</v>
      </c>
      <c r="D143" s="17">
        <f t="shared" si="16"/>
        <v>6.4662240960811801E-2</v>
      </c>
      <c r="E143" s="17">
        <f t="shared" si="16"/>
        <v>0.28707091572338034</v>
      </c>
      <c r="F143" s="17">
        <f t="shared" si="16"/>
        <v>1.5655779804694261E-2</v>
      </c>
      <c r="G143" s="17">
        <f t="shared" si="16"/>
        <v>3.1677161754895267E-2</v>
      </c>
      <c r="H143" s="17">
        <f t="shared" si="16"/>
        <v>5.2035439505855575E-2</v>
      </c>
    </row>
    <row r="144" spans="1:8" x14ac:dyDescent="0.2">
      <c r="A144">
        <v>837</v>
      </c>
      <c r="B144">
        <f t="shared" si="14"/>
        <v>0.83699999999999997</v>
      </c>
      <c r="C144">
        <f t="shared" si="6"/>
        <v>564</v>
      </c>
      <c r="D144" s="17">
        <f t="shared" si="16"/>
        <v>6.4709568231359829E-2</v>
      </c>
      <c r="E144" s="17">
        <f t="shared" si="16"/>
        <v>0.28842738217809982</v>
      </c>
      <c r="F144" s="17">
        <f t="shared" si="16"/>
        <v>1.56918260811569E-2</v>
      </c>
      <c r="G144" s="17">
        <f t="shared" si="16"/>
        <v>3.1683736141611199E-2</v>
      </c>
      <c r="H144" s="17">
        <f t="shared" si="16"/>
        <v>5.2051412912589433E-2</v>
      </c>
    </row>
    <row r="145" spans="1:8" x14ac:dyDescent="0.2">
      <c r="A145">
        <v>838</v>
      </c>
      <c r="B145">
        <f t="shared" si="14"/>
        <v>0.83799999999999997</v>
      </c>
      <c r="C145">
        <f t="shared" si="6"/>
        <v>565</v>
      </c>
      <c r="D145" s="17">
        <f t="shared" si="16"/>
        <v>6.4756848197176586E-2</v>
      </c>
      <c r="E145" s="17">
        <f t="shared" si="16"/>
        <v>0.28978992864696163</v>
      </c>
      <c r="F145" s="17">
        <f t="shared" si="16"/>
        <v>1.5727759282190015E-2</v>
      </c>
      <c r="G145" s="17">
        <f t="shared" si="16"/>
        <v>3.1690306660258134E-2</v>
      </c>
      <c r="H145" s="17">
        <f t="shared" si="16"/>
        <v>5.2067357182977149E-2</v>
      </c>
    </row>
    <row r="146" spans="1:8" x14ac:dyDescent="0.2">
      <c r="A146">
        <v>839</v>
      </c>
      <c r="B146">
        <f t="shared" si="14"/>
        <v>0.83899999999999997</v>
      </c>
      <c r="C146">
        <f t="shared" ref="C146:C209" si="17">A146-273</f>
        <v>566</v>
      </c>
      <c r="D146" s="17">
        <f t="shared" si="16"/>
        <v>6.480408085391294E-2</v>
      </c>
      <c r="E146" s="17">
        <f t="shared" si="16"/>
        <v>0.29115856975092641</v>
      </c>
      <c r="F146" s="17">
        <f t="shared" si="16"/>
        <v>1.5763579972529161E-2</v>
      </c>
      <c r="G146" s="17">
        <f t="shared" si="16"/>
        <v>3.1696873288322464E-2</v>
      </c>
      <c r="H146" s="17">
        <f t="shared" si="16"/>
        <v>5.2083272372668112E-2</v>
      </c>
    </row>
    <row r="147" spans="1:8" x14ac:dyDescent="0.2">
      <c r="A147">
        <v>840</v>
      </c>
      <c r="B147">
        <f t="shared" si="14"/>
        <v>0.84</v>
      </c>
      <c r="C147">
        <f t="shared" si="17"/>
        <v>567</v>
      </c>
      <c r="D147" s="17">
        <f t="shared" si="16"/>
        <v>6.4851266197454946E-2</v>
      </c>
      <c r="E147" s="17">
        <f t="shared" si="16"/>
        <v>0.29253332011229022</v>
      </c>
      <c r="F147" s="17">
        <f t="shared" si="16"/>
        <v>1.579928871345139E-2</v>
      </c>
      <c r="G147" s="17">
        <f t="shared" si="16"/>
        <v>3.1703436003473411E-2</v>
      </c>
      <c r="H147" s="17">
        <f t="shared" si="16"/>
        <v>5.2099158537264337E-2</v>
      </c>
    </row>
    <row r="148" spans="1:8" x14ac:dyDescent="0.2">
      <c r="A148">
        <v>841</v>
      </c>
      <c r="B148">
        <f t="shared" si="14"/>
        <v>0.84099999999999997</v>
      </c>
      <c r="C148">
        <f t="shared" si="17"/>
        <v>568</v>
      </c>
      <c r="D148" s="17">
        <f t="shared" si="16"/>
        <v>6.489840422392211E-2</v>
      </c>
      <c r="E148" s="17">
        <f t="shared" si="16"/>
        <v>0.29391419435467642</v>
      </c>
      <c r="F148" s="17">
        <f t="shared" si="16"/>
        <v>1.5834886062799945E-2</v>
      </c>
      <c r="G148" s="17">
        <f t="shared" si="16"/>
        <v>3.1709994783561728E-2</v>
      </c>
      <c r="H148" s="17">
        <f t="shared" si="16"/>
        <v>5.2115015732320816E-2</v>
      </c>
    </row>
    <row r="149" spans="1:8" x14ac:dyDescent="0.2">
      <c r="A149">
        <v>842</v>
      </c>
      <c r="B149">
        <f t="shared" si="14"/>
        <v>0.84199999999999997</v>
      </c>
      <c r="C149">
        <f t="shared" si="17"/>
        <v>569</v>
      </c>
      <c r="D149" s="17">
        <f t="shared" si="16"/>
        <v>6.4945494929665684E-2</v>
      </c>
      <c r="E149" s="17">
        <f t="shared" si="16"/>
        <v>0.29530120710302471</v>
      </c>
      <c r="F149" s="17">
        <f t="shared" si="16"/>
        <v>1.587037257500868E-2</v>
      </c>
      <c r="G149" s="17">
        <f t="shared" si="16"/>
        <v>3.1716549606618356E-2</v>
      </c>
      <c r="H149" s="17">
        <f t="shared" si="16"/>
        <v>5.2130844013345917E-2</v>
      </c>
    </row>
    <row r="150" spans="1:8" x14ac:dyDescent="0.2">
      <c r="A150">
        <v>843</v>
      </c>
      <c r="B150">
        <f t="shared" si="14"/>
        <v>0.84299999999999997</v>
      </c>
      <c r="C150">
        <f t="shared" si="17"/>
        <v>570</v>
      </c>
      <c r="D150" s="17">
        <f t="shared" ref="D150:H159" si="18">(D$73+D$74*$B150+D$75*($B150^2)+D$76*($B150^3)+D$77/($B150^2))/1000</f>
        <v>6.499253831126714E-2</v>
      </c>
      <c r="E150" s="17">
        <f t="shared" si="18"/>
        <v>0.29669437298358275</v>
      </c>
      <c r="F150" s="17">
        <f t="shared" si="18"/>
        <v>1.5905748801126315E-2</v>
      </c>
      <c r="G150" s="17">
        <f t="shared" si="18"/>
        <v>3.1723100450853241E-2</v>
      </c>
      <c r="H150" s="17">
        <f t="shared" si="18"/>
        <v>5.214664343580161E-2</v>
      </c>
    </row>
    <row r="151" spans="1:8" x14ac:dyDescent="0.2">
      <c r="A151">
        <v>844</v>
      </c>
      <c r="B151">
        <f t="shared" si="14"/>
        <v>0.84399999999999997</v>
      </c>
      <c r="C151">
        <f t="shared" si="17"/>
        <v>571</v>
      </c>
      <c r="D151" s="17">
        <f t="shared" si="18"/>
        <v>6.5039534365536389E-2</v>
      </c>
      <c r="E151" s="17">
        <f t="shared" si="18"/>
        <v>0.29809370662389617</v>
      </c>
      <c r="F151" s="17">
        <f t="shared" si="18"/>
        <v>1.5941015288840499E-2</v>
      </c>
      <c r="G151" s="17">
        <f t="shared" si="18"/>
        <v>3.1729647294653926E-2</v>
      </c>
      <c r="H151" s="17">
        <f t="shared" si="18"/>
        <v>5.2162414055103884E-2</v>
      </c>
    </row>
    <row r="152" spans="1:8" x14ac:dyDescent="0.2">
      <c r="A152">
        <v>845</v>
      </c>
      <c r="B152">
        <f t="shared" si="14"/>
        <v>0.84499999999999997</v>
      </c>
      <c r="C152">
        <f t="shared" si="17"/>
        <v>572</v>
      </c>
      <c r="D152" s="17">
        <f t="shared" si="18"/>
        <v>6.5086483089510261E-2</v>
      </c>
      <c r="E152" s="17">
        <f t="shared" si="18"/>
        <v>0.29949922265279966</v>
      </c>
      <c r="F152" s="17">
        <f t="shared" si="18"/>
        <v>1.5976172582501676E-2</v>
      </c>
      <c r="G152" s="17">
        <f t="shared" si="18"/>
        <v>3.1736190116584434E-2</v>
      </c>
      <c r="H152" s="17">
        <f t="shared" si="18"/>
        <v>5.2178155926623032E-2</v>
      </c>
    </row>
    <row r="153" spans="1:8" x14ac:dyDescent="0.2">
      <c r="A153">
        <v>846</v>
      </c>
      <c r="B153">
        <f t="shared" si="14"/>
        <v>0.84599999999999997</v>
      </c>
      <c r="C153">
        <f t="shared" si="17"/>
        <v>573</v>
      </c>
      <c r="D153" s="17">
        <f t="shared" si="18"/>
        <v>6.5133384480450876E-2</v>
      </c>
      <c r="E153" s="17">
        <f t="shared" si="18"/>
        <v>0.30091093570040822</v>
      </c>
      <c r="F153" s="17">
        <f t="shared" si="18"/>
        <v>1.6011221223146695E-2</v>
      </c>
      <c r="G153" s="17">
        <f t="shared" si="18"/>
        <v>3.1742728895383897E-2</v>
      </c>
      <c r="H153" s="17">
        <f t="shared" si="18"/>
        <v>5.2193869105683986E-2</v>
      </c>
    </row>
    <row r="154" spans="1:8" x14ac:dyDescent="0.2">
      <c r="A154">
        <v>847</v>
      </c>
      <c r="B154">
        <f t="shared" si="14"/>
        <v>0.84699999999999998</v>
      </c>
      <c r="C154">
        <f t="shared" si="17"/>
        <v>574</v>
      </c>
      <c r="D154" s="17">
        <f t="shared" si="18"/>
        <v>6.5180238535844023E-2</v>
      </c>
      <c r="E154" s="17">
        <f t="shared" si="18"/>
        <v>0.30232886039810741</v>
      </c>
      <c r="F154" s="17">
        <f t="shared" si="18"/>
        <v>1.6046161748522317E-2</v>
      </c>
      <c r="G154" s="17">
        <f t="shared" si="18"/>
        <v>3.174926360996539E-2</v>
      </c>
      <c r="H154" s="17">
        <f t="shared" si="18"/>
        <v>5.2209553647566638E-2</v>
      </c>
    </row>
    <row r="155" spans="1:8" x14ac:dyDescent="0.2">
      <c r="A155">
        <v>848</v>
      </c>
      <c r="B155">
        <f t="shared" si="14"/>
        <v>0.84799999999999998</v>
      </c>
      <c r="C155">
        <f t="shared" si="17"/>
        <v>575</v>
      </c>
      <c r="D155" s="17">
        <f t="shared" si="18"/>
        <v>6.5227045253397578E-2</v>
      </c>
      <c r="E155" s="17">
        <f t="shared" si="18"/>
        <v>0.30375301137854499</v>
      </c>
      <c r="F155" s="17">
        <f t="shared" si="18"/>
        <v>1.6080994693108436E-2</v>
      </c>
      <c r="G155" s="17">
        <f t="shared" si="18"/>
        <v>3.1755794239414707E-2</v>
      </c>
      <c r="H155" s="17">
        <f t="shared" si="18"/>
        <v>5.2225209607506144E-2</v>
      </c>
    </row>
    <row r="156" spans="1:8" x14ac:dyDescent="0.2">
      <c r="A156">
        <v>849</v>
      </c>
      <c r="B156">
        <f t="shared" si="14"/>
        <v>0.84899999999999998</v>
      </c>
      <c r="C156">
        <f t="shared" si="17"/>
        <v>576</v>
      </c>
      <c r="D156" s="17">
        <f t="shared" si="18"/>
        <v>6.5273804631039989E-2</v>
      </c>
      <c r="E156" s="17">
        <f t="shared" si="18"/>
        <v>0.3051834032756211</v>
      </c>
      <c r="F156" s="17">
        <f t="shared" si="18"/>
        <v>1.6115720588141178E-2</v>
      </c>
      <c r="G156" s="17">
        <f t="shared" si="18"/>
        <v>3.1762320762989044E-2</v>
      </c>
      <c r="H156" s="17">
        <f t="shared" si="18"/>
        <v>5.2240837040693267E-2</v>
      </c>
    </row>
    <row r="157" spans="1:8" x14ac:dyDescent="0.2">
      <c r="A157">
        <v>850</v>
      </c>
      <c r="B157">
        <f t="shared" si="14"/>
        <v>0.85</v>
      </c>
      <c r="C157">
        <f t="shared" si="17"/>
        <v>577</v>
      </c>
      <c r="D157" s="17">
        <f t="shared" si="18"/>
        <v>6.5320516666918682E-2</v>
      </c>
      <c r="E157" s="17">
        <f t="shared" si="18"/>
        <v>0.30662005072448117</v>
      </c>
      <c r="F157" s="17">
        <f t="shared" si="18"/>
        <v>1.6150339961635809E-2</v>
      </c>
      <c r="G157" s="17">
        <f t="shared" si="18"/>
        <v>3.1768843160115919E-2</v>
      </c>
      <c r="H157" s="17">
        <f t="shared" si="18"/>
        <v>5.2256436002274663E-2</v>
      </c>
    </row>
    <row r="158" spans="1:8" x14ac:dyDescent="0.2">
      <c r="A158">
        <v>851</v>
      </c>
      <c r="B158">
        <f t="shared" si="14"/>
        <v>0.85099999999999998</v>
      </c>
      <c r="C158">
        <f t="shared" si="17"/>
        <v>578</v>
      </c>
      <c r="D158" s="17">
        <f t="shared" si="18"/>
        <v>6.5367181359398466E-2</v>
      </c>
      <c r="E158" s="17">
        <f t="shared" si="18"/>
        <v>0.30806296836150437</v>
      </c>
      <c r="F158" s="17">
        <f t="shared" si="18"/>
        <v>1.6184853338409372E-2</v>
      </c>
      <c r="G158" s="17">
        <f t="shared" si="18"/>
        <v>3.1775361410391875E-2</v>
      </c>
      <c r="H158" s="17">
        <f t="shared" si="18"/>
        <v>5.2272006547353207E-2</v>
      </c>
    </row>
    <row r="159" spans="1:8" x14ac:dyDescent="0.2">
      <c r="A159">
        <v>852</v>
      </c>
      <c r="B159">
        <f t="shared" si="14"/>
        <v>0.85199999999999998</v>
      </c>
      <c r="C159">
        <f t="shared" si="17"/>
        <v>579</v>
      </c>
      <c r="D159" s="17">
        <f t="shared" si="18"/>
        <v>6.5413798707060142E-2</v>
      </c>
      <c r="E159" s="17">
        <f t="shared" si="18"/>
        <v>0.30951217082429799</v>
      </c>
      <c r="F159" s="17">
        <f t="shared" si="18"/>
        <v>1.6219261240103245E-2</v>
      </c>
      <c r="G159" s="17">
        <f t="shared" si="18"/>
        <v>3.1781875493581364E-2</v>
      </c>
      <c r="H159" s="17">
        <f t="shared" si="18"/>
        <v>5.2287548730988322E-2</v>
      </c>
    </row>
    <row r="160" spans="1:8" x14ac:dyDescent="0.2">
      <c r="A160">
        <v>853</v>
      </c>
      <c r="B160">
        <f t="shared" si="14"/>
        <v>0.85299999999999998</v>
      </c>
      <c r="C160">
        <f t="shared" si="17"/>
        <v>580</v>
      </c>
      <c r="D160" s="17">
        <f t="shared" ref="D160:H169" si="19">(D$73+D$74*$B160+D$75*($B160^2)+D$76*($B160^3)+D$77/($B160^2))/1000</f>
        <v>6.5460368708698771E-2</v>
      </c>
      <c r="E160" s="17">
        <f t="shared" si="19"/>
        <v>0.31096767275168746</v>
      </c>
      <c r="F160" s="17">
        <f t="shared" si="19"/>
        <v>1.6253564185205419E-2</v>
      </c>
      <c r="G160" s="17">
        <f t="shared" si="19"/>
        <v>3.1788385389615488E-2</v>
      </c>
      <c r="H160" s="17">
        <f t="shared" si="19"/>
        <v>5.2303062608196227E-2</v>
      </c>
    </row>
    <row r="161" spans="1:8" x14ac:dyDescent="0.2">
      <c r="A161">
        <v>854</v>
      </c>
      <c r="B161">
        <f t="shared" si="14"/>
        <v>0.85399999999999998</v>
      </c>
      <c r="C161">
        <f t="shared" si="17"/>
        <v>581</v>
      </c>
      <c r="D161" s="17">
        <f t="shared" si="19"/>
        <v>6.5506891363322439E-2</v>
      </c>
      <c r="E161" s="17">
        <f t="shared" si="19"/>
        <v>0.31242948878370541</v>
      </c>
      <c r="F161" s="17">
        <f t="shared" si="19"/>
        <v>1.6287762689072709E-2</v>
      </c>
      <c r="G161" s="17">
        <f t="shared" si="19"/>
        <v>3.1794891078590889E-2</v>
      </c>
      <c r="H161" s="17">
        <f t="shared" si="19"/>
        <v>5.231854823395031E-2</v>
      </c>
    </row>
    <row r="162" spans="1:8" x14ac:dyDescent="0.2">
      <c r="A162">
        <v>855</v>
      </c>
      <c r="B162">
        <f t="shared" si="14"/>
        <v>0.85499999999999998</v>
      </c>
      <c r="C162">
        <f t="shared" si="17"/>
        <v>582</v>
      </c>
      <c r="D162" s="17">
        <f t="shared" si="19"/>
        <v>6.555336667015052E-2</v>
      </c>
      <c r="E162" s="17">
        <f t="shared" si="19"/>
        <v>0.31389763356158928</v>
      </c>
      <c r="F162" s="17">
        <f t="shared" si="19"/>
        <v>1.6321857263952657E-2</v>
      </c>
      <c r="G162" s="17">
        <f t="shared" si="19"/>
        <v>3.1801392540768594E-2</v>
      </c>
      <c r="H162" s="17">
        <f t="shared" si="19"/>
        <v>5.2334005663181353E-2</v>
      </c>
    </row>
    <row r="163" spans="1:8" x14ac:dyDescent="0.2">
      <c r="A163">
        <v>856</v>
      </c>
      <c r="B163">
        <f t="shared" si="14"/>
        <v>0.85599999999999998</v>
      </c>
      <c r="C163">
        <f t="shared" si="17"/>
        <v>583</v>
      </c>
      <c r="D163" s="17">
        <f t="shared" si="19"/>
        <v>6.5599794628612346E-2</v>
      </c>
      <c r="E163" s="17">
        <f t="shared" si="19"/>
        <v>0.31537212172776569</v>
      </c>
      <c r="F163" s="17">
        <f t="shared" si="19"/>
        <v>1.6355848419005319E-2</v>
      </c>
      <c r="G163" s="17">
        <f t="shared" si="19"/>
        <v>3.1807889756572783E-2</v>
      </c>
      <c r="H163" s="17">
        <f t="shared" si="19"/>
        <v>5.2349434950777901E-2</v>
      </c>
    </row>
    <row r="164" spans="1:8" x14ac:dyDescent="0.2">
      <c r="A164">
        <v>857</v>
      </c>
      <c r="B164">
        <f t="shared" si="14"/>
        <v>0.85699999999999998</v>
      </c>
      <c r="C164">
        <f t="shared" si="17"/>
        <v>584</v>
      </c>
      <c r="D164" s="17">
        <f t="shared" si="19"/>
        <v>6.5646175238345664E-2</v>
      </c>
      <c r="E164" s="17">
        <f t="shared" si="19"/>
        <v>0.316852967925847</v>
      </c>
      <c r="F164" s="17">
        <f t="shared" si="19"/>
        <v>1.6389736660324894E-2</v>
      </c>
      <c r="G164" s="17">
        <f t="shared" si="19"/>
        <v>3.1814382706589754E-2</v>
      </c>
      <c r="H164" s="17">
        <f t="shared" si="19"/>
        <v>5.2364836151586498E-2</v>
      </c>
    </row>
    <row r="165" spans="1:8" x14ac:dyDescent="0.2">
      <c r="A165">
        <v>858</v>
      </c>
      <c r="B165">
        <f t="shared" si="14"/>
        <v>0.85799999999999998</v>
      </c>
      <c r="C165">
        <f t="shared" si="17"/>
        <v>585</v>
      </c>
      <c r="D165" s="17">
        <f t="shared" si="19"/>
        <v>6.5692508499195237E-2</v>
      </c>
      <c r="E165" s="17">
        <f t="shared" si="19"/>
        <v>0.31834018680062165</v>
      </c>
      <c r="F165" s="17">
        <f t="shared" si="19"/>
        <v>1.6423522490961122E-2</v>
      </c>
      <c r="G165" s="17">
        <f t="shared" si="19"/>
        <v>3.1820871371566715E-2</v>
      </c>
      <c r="H165" s="17">
        <f t="shared" si="19"/>
        <v>5.2380209320412041E-2</v>
      </c>
    </row>
    <row r="166" spans="1:8" x14ac:dyDescent="0.2">
      <c r="A166">
        <v>859</v>
      </c>
      <c r="B166">
        <f t="shared" si="14"/>
        <v>0.85899999999999999</v>
      </c>
      <c r="C166">
        <f t="shared" si="17"/>
        <v>586</v>
      </c>
      <c r="D166" s="17">
        <f t="shared" si="19"/>
        <v>6.5738794411211318E-2</v>
      </c>
      <c r="E166" s="17">
        <f t="shared" si="19"/>
        <v>0.31983379299804604</v>
      </c>
      <c r="F166" s="17">
        <f t="shared" si="19"/>
        <v>1.6457206410940579E-2</v>
      </c>
      <c r="G166" s="17">
        <f t="shared" si="19"/>
        <v>3.1827355732410682E-2</v>
      </c>
      <c r="H166" s="17">
        <f t="shared" si="19"/>
        <v>5.2395554512018022E-2</v>
      </c>
    </row>
    <row r="167" spans="1:8" x14ac:dyDescent="0.2">
      <c r="A167">
        <v>860</v>
      </c>
      <c r="B167">
        <f t="shared" si="14"/>
        <v>0.86</v>
      </c>
      <c r="C167">
        <f t="shared" si="17"/>
        <v>587</v>
      </c>
      <c r="D167" s="17">
        <f t="shared" si="19"/>
        <v>6.5785032974648272E-2</v>
      </c>
      <c r="E167" s="17">
        <f t="shared" si="19"/>
        <v>0.32133380116523519</v>
      </c>
      <c r="F167" s="17">
        <f t="shared" si="19"/>
        <v>1.6490788917287693E-2</v>
      </c>
      <c r="G167" s="17">
        <f t="shared" si="19"/>
        <v>3.1833835770187398E-2</v>
      </c>
      <c r="H167" s="17">
        <f t="shared" si="19"/>
        <v>5.2410871781126848E-2</v>
      </c>
    </row>
    <row r="168" spans="1:8" x14ac:dyDescent="0.2">
      <c r="A168">
        <v>861</v>
      </c>
      <c r="B168">
        <f t="shared" si="14"/>
        <v>0.86099999999999999</v>
      </c>
      <c r="C168">
        <f t="shared" si="17"/>
        <v>588</v>
      </c>
      <c r="D168" s="17">
        <f t="shared" si="19"/>
        <v>6.5831224189963206E-2</v>
      </c>
      <c r="E168" s="17">
        <f t="shared" si="19"/>
        <v>0.32284022595045675</v>
      </c>
      <c r="F168" s="17">
        <f t="shared" si="19"/>
        <v>1.6524270504045716E-2</v>
      </c>
      <c r="G168" s="17">
        <f t="shared" si="19"/>
        <v>3.1840311466120146E-2</v>
      </c>
      <c r="H168" s="17">
        <f t="shared" si="19"/>
        <v>5.2426161182420092E-2</v>
      </c>
    </row>
    <row r="169" spans="1:8" x14ac:dyDescent="0.2">
      <c r="A169">
        <v>862</v>
      </c>
      <c r="B169">
        <f t="shared" si="14"/>
        <v>0.86199999999999999</v>
      </c>
      <c r="C169">
        <f t="shared" si="17"/>
        <v>589</v>
      </c>
      <c r="D169" s="17">
        <f t="shared" si="19"/>
        <v>6.5877368057814467E-2</v>
      </c>
      <c r="E169" s="17">
        <f t="shared" si="19"/>
        <v>0.32435308200312135</v>
      </c>
      <c r="F169" s="17">
        <f t="shared" si="19"/>
        <v>1.6557651662297425E-2</v>
      </c>
      <c r="G169" s="17">
        <f t="shared" si="19"/>
        <v>3.1846782801588751E-2</v>
      </c>
      <c r="H169" s="17">
        <f t="shared" si="19"/>
        <v>5.2441422770538808E-2</v>
      </c>
    </row>
    <row r="170" spans="1:8" x14ac:dyDescent="0.2">
      <c r="A170">
        <v>863</v>
      </c>
      <c r="B170">
        <f t="shared" si="14"/>
        <v>0.86299999999999999</v>
      </c>
      <c r="C170">
        <f t="shared" si="17"/>
        <v>590</v>
      </c>
      <c r="D170" s="17">
        <f t="shared" ref="D170:H179" si="20">(D$73+D$74*$B170+D$75*($B170^2)+D$76*($B170^3)+D$77/($B170^2))/1000</f>
        <v>6.5923464579060204E-2</v>
      </c>
      <c r="E170" s="17">
        <f t="shared" si="20"/>
        <v>0.32587238397377555</v>
      </c>
      <c r="F170" s="17">
        <f t="shared" si="20"/>
        <v>1.6590932880185705E-2</v>
      </c>
      <c r="G170" s="17">
        <f t="shared" si="20"/>
        <v>3.1853249758128407E-2</v>
      </c>
      <c r="H170" s="17">
        <f t="shared" si="20"/>
        <v>5.2456656600083792E-2</v>
      </c>
    </row>
    <row r="171" spans="1:8" x14ac:dyDescent="0.2">
      <c r="A171">
        <v>864</v>
      </c>
      <c r="B171">
        <f t="shared" si="14"/>
        <v>0.86399999999999999</v>
      </c>
      <c r="C171">
        <f t="shared" si="17"/>
        <v>591</v>
      </c>
      <c r="D171" s="17">
        <f t="shared" si="20"/>
        <v>6.5969513754757167E-2</v>
      </c>
      <c r="E171" s="17">
        <f t="shared" si="20"/>
        <v>0.32739814651409305</v>
      </c>
      <c r="F171" s="17">
        <f t="shared" si="20"/>
        <v>1.6624114642933955E-2</v>
      </c>
      <c r="G171" s="17">
        <f t="shared" si="20"/>
        <v>3.1859712317428679E-2</v>
      </c>
      <c r="H171" s="17">
        <f t="shared" si="20"/>
        <v>5.2471862725615902E-2</v>
      </c>
    </row>
    <row r="172" spans="1:8" x14ac:dyDescent="0.2">
      <c r="A172">
        <v>865</v>
      </c>
      <c r="B172">
        <f t="shared" si="14"/>
        <v>0.86499999999999999</v>
      </c>
      <c r="C172">
        <f t="shared" si="17"/>
        <v>592</v>
      </c>
      <c r="D172" s="17">
        <f t="shared" si="20"/>
        <v>6.6015515586159174E-2</v>
      </c>
      <c r="E172" s="17">
        <f t="shared" si="20"/>
        <v>0.32893038427686838</v>
      </c>
      <c r="F172" s="17">
        <f t="shared" si="20"/>
        <v>1.6657197432866311E-2</v>
      </c>
      <c r="G172" s="17">
        <f t="shared" si="20"/>
        <v>3.186617046133236E-2</v>
      </c>
      <c r="H172" s="17">
        <f t="shared" si="20"/>
        <v>5.248704120165628E-2</v>
      </c>
    </row>
    <row r="173" spans="1:8" x14ac:dyDescent="0.2">
      <c r="A173">
        <v>866</v>
      </c>
      <c r="B173">
        <f t="shared" si="14"/>
        <v>0.86599999999999999</v>
      </c>
      <c r="C173">
        <f t="shared" si="17"/>
        <v>593</v>
      </c>
      <c r="D173" s="17">
        <f t="shared" si="20"/>
        <v>6.6061470074715745E-2</v>
      </c>
      <c r="E173" s="17">
        <f t="shared" si="20"/>
        <v>0.33046911191600697</v>
      </c>
      <c r="F173" s="17">
        <f t="shared" si="20"/>
        <v>1.6690181729427739E-2</v>
      </c>
      <c r="G173" s="17">
        <f t="shared" si="20"/>
        <v>3.1872624171834452E-2</v>
      </c>
      <c r="H173" s="17">
        <f t="shared" si="20"/>
        <v>5.2502192082686666E-2</v>
      </c>
    </row>
    <row r="174" spans="1:8" x14ac:dyDescent="0.2">
      <c r="A174">
        <v>867</v>
      </c>
      <c r="B174">
        <f t="shared" si="14"/>
        <v>0.86699999999999999</v>
      </c>
      <c r="C174">
        <f t="shared" si="17"/>
        <v>594</v>
      </c>
      <c r="D174" s="17">
        <f t="shared" si="20"/>
        <v>6.6107377222070871E-2</v>
      </c>
      <c r="E174" s="17">
        <f t="shared" si="20"/>
        <v>0.33201434408652031</v>
      </c>
      <c r="F174" s="17">
        <f t="shared" si="20"/>
        <v>1.6723068009203954E-2</v>
      </c>
      <c r="G174" s="17">
        <f t="shared" si="20"/>
        <v>3.1879073431081088E-2</v>
      </c>
      <c r="H174" s="17">
        <f t="shared" si="20"/>
        <v>5.2517315423149649E-2</v>
      </c>
    </row>
    <row r="175" spans="1:8" x14ac:dyDescent="0.2">
      <c r="A175">
        <v>868</v>
      </c>
      <c r="B175">
        <f t="shared" si="14"/>
        <v>0.86799999999999999</v>
      </c>
      <c r="C175">
        <f t="shared" si="17"/>
        <v>595</v>
      </c>
      <c r="D175" s="17">
        <f t="shared" si="20"/>
        <v>6.6153237030061526E-2</v>
      </c>
      <c r="E175" s="17">
        <f t="shared" si="20"/>
        <v>0.33356609544451504</v>
      </c>
      <c r="F175" s="17">
        <f t="shared" si="20"/>
        <v>1.6755856745941152E-2</v>
      </c>
      <c r="G175" s="17">
        <f t="shared" si="20"/>
        <v>3.1885518221368529E-2</v>
      </c>
      <c r="H175" s="17">
        <f t="shared" si="20"/>
        <v>5.2532411277448919E-2</v>
      </c>
    </row>
    <row r="176" spans="1:8" x14ac:dyDescent="0.2">
      <c r="A176">
        <v>869</v>
      </c>
      <c r="B176">
        <f t="shared" si="14"/>
        <v>0.86899999999999999</v>
      </c>
      <c r="C176">
        <f t="shared" si="17"/>
        <v>596</v>
      </c>
      <c r="D176" s="17">
        <f t="shared" si="20"/>
        <v>6.619904950071645E-2</v>
      </c>
      <c r="E176" s="17">
        <f t="shared" si="20"/>
        <v>0.33512438064718836</v>
      </c>
      <c r="F176" s="17">
        <f t="shared" si="20"/>
        <v>1.678854841056562E-2</v>
      </c>
      <c r="G176" s="17">
        <f t="shared" si="20"/>
        <v>3.1891958525142081E-2</v>
      </c>
      <c r="H176" s="17">
        <f t="shared" si="20"/>
        <v>5.2547479699949606E-2</v>
      </c>
    </row>
    <row r="177" spans="1:8" x14ac:dyDescent="0.2">
      <c r="A177">
        <v>870</v>
      </c>
      <c r="B177">
        <f t="shared" si="14"/>
        <v>0.87</v>
      </c>
      <c r="C177">
        <f t="shared" si="17"/>
        <v>597</v>
      </c>
      <c r="D177" s="17">
        <f t="shared" si="20"/>
        <v>6.6244814636254756E-2</v>
      </c>
      <c r="E177" s="17">
        <f t="shared" si="20"/>
        <v>0.33668921435281868</v>
      </c>
      <c r="F177" s="17">
        <f t="shared" si="20"/>
        <v>1.6821143471203157E-2</v>
      </c>
      <c r="G177" s="17">
        <f t="shared" si="20"/>
        <v>3.1898394324995083E-2</v>
      </c>
      <c r="H177" s="17">
        <f t="shared" si="20"/>
        <v>5.2562520744978476E-2</v>
      </c>
    </row>
    <row r="178" spans="1:8" x14ac:dyDescent="0.2">
      <c r="A178">
        <v>871</v>
      </c>
      <c r="B178">
        <f t="shared" si="14"/>
        <v>0.871</v>
      </c>
      <c r="C178">
        <f t="shared" si="17"/>
        <v>598</v>
      </c>
      <c r="D178" s="17">
        <f t="shared" si="20"/>
        <v>6.6290532439084615E-2</v>
      </c>
      <c r="E178" s="17">
        <f t="shared" si="20"/>
        <v>0.33826061122075857</v>
      </c>
      <c r="F178" s="17">
        <f t="shared" si="20"/>
        <v>1.6853642393198372E-2</v>
      </c>
      <c r="G178" s="17">
        <f t="shared" si="20"/>
        <v>3.1904825603667905E-2</v>
      </c>
      <c r="H178" s="17">
        <f t="shared" si="20"/>
        <v>5.2577534466824227E-2</v>
      </c>
    </row>
    <row r="179" spans="1:8" x14ac:dyDescent="0.2">
      <c r="A179">
        <v>872</v>
      </c>
      <c r="B179">
        <f t="shared" si="14"/>
        <v>0.872</v>
      </c>
      <c r="C179">
        <f t="shared" si="17"/>
        <v>599</v>
      </c>
      <c r="D179" s="17">
        <f t="shared" si="20"/>
        <v>6.6336202911802047E-2</v>
      </c>
      <c r="E179" s="17">
        <f t="shared" si="20"/>
        <v>0.33983858591142824</v>
      </c>
      <c r="F179" s="17">
        <f t="shared" si="20"/>
        <v>1.6886045639133811E-2</v>
      </c>
      <c r="G179" s="17">
        <f t="shared" si="20"/>
        <v>3.1911252344046945E-2</v>
      </c>
      <c r="H179" s="17">
        <f t="shared" si="20"/>
        <v>5.2592520919737748E-2</v>
      </c>
    </row>
    <row r="180" spans="1:8" x14ac:dyDescent="0.2">
      <c r="A180">
        <v>873</v>
      </c>
      <c r="B180">
        <f t="shared" si="14"/>
        <v>0.873</v>
      </c>
      <c r="C180">
        <f t="shared" si="17"/>
        <v>600</v>
      </c>
      <c r="D180" s="17">
        <f t="shared" ref="D180:H189" si="21">(D$73+D$74*$B180+D$75*($B180^2)+D$76*($B180^3)+D$77/($B180^2))/1000</f>
        <v>6.6381826057189522E-2</v>
      </c>
      <c r="E180" s="17">
        <f t="shared" si="21"/>
        <v>0.341423153086306</v>
      </c>
      <c r="F180" s="17">
        <f t="shared" si="21"/>
        <v>1.6918353668848904E-2</v>
      </c>
      <c r="G180" s="17">
        <f t="shared" si="21"/>
        <v>3.1917674529163546E-2</v>
      </c>
      <c r="H180" s="17">
        <f t="shared" si="21"/>
        <v>5.2607480157932353E-2</v>
      </c>
    </row>
    <row r="181" spans="1:8" x14ac:dyDescent="0.2">
      <c r="A181">
        <v>874</v>
      </c>
      <c r="B181">
        <f t="shared" si="14"/>
        <v>0.874</v>
      </c>
      <c r="C181">
        <f t="shared" si="17"/>
        <v>601</v>
      </c>
      <c r="D181" s="17">
        <f t="shared" si="21"/>
        <v>6.642740187821472E-2</v>
      </c>
      <c r="E181" s="17">
        <f t="shared" si="21"/>
        <v>0.34301432740792448</v>
      </c>
      <c r="F181" s="17">
        <f t="shared" si="21"/>
        <v>1.6950566939458817E-2</v>
      </c>
      <c r="G181" s="17">
        <f t="shared" si="21"/>
        <v>3.1924092142193126E-2</v>
      </c>
      <c r="H181" s="17">
        <f t="shared" si="21"/>
        <v>5.2622412235584087E-2</v>
      </c>
    </row>
    <row r="182" spans="1:8" x14ac:dyDescent="0.2">
      <c r="A182">
        <v>875</v>
      </c>
      <c r="B182">
        <f t="shared" si="14"/>
        <v>0.875</v>
      </c>
      <c r="C182">
        <f t="shared" si="17"/>
        <v>602</v>
      </c>
      <c r="D182" s="17">
        <f t="shared" si="21"/>
        <v>6.6472930378029343E-2</v>
      </c>
      <c r="E182" s="17">
        <f t="shared" si="21"/>
        <v>0.34461212353985982</v>
      </c>
      <c r="F182" s="17">
        <f t="shared" si="21"/>
        <v>1.6982685905373086E-2</v>
      </c>
      <c r="G182" s="17">
        <f t="shared" si="21"/>
        <v>3.1930505166454085E-2</v>
      </c>
      <c r="H182" s="17">
        <f t="shared" si="21"/>
        <v>5.2637317206831943E-2</v>
      </c>
    </row>
    <row r="183" spans="1:8" x14ac:dyDescent="0.2">
      <c r="A183">
        <v>876</v>
      </c>
      <c r="B183">
        <f t="shared" si="14"/>
        <v>0.876</v>
      </c>
      <c r="C183">
        <f t="shared" si="17"/>
        <v>603</v>
      </c>
      <c r="D183" s="17">
        <f t="shared" si="21"/>
        <v>6.6518411559967655E-2</v>
      </c>
      <c r="E183" s="17">
        <f t="shared" si="21"/>
        <v>0.34621655614672697</v>
      </c>
      <c r="F183" s="17">
        <f t="shared" si="21"/>
        <v>1.7014711018314185E-2</v>
      </c>
      <c r="G183" s="17">
        <f t="shared" si="21"/>
        <v>3.1936913585406873E-2</v>
      </c>
      <c r="H183" s="17">
        <f t="shared" si="21"/>
        <v>5.2652195125778151E-2</v>
      </c>
    </row>
    <row r="184" spans="1:8" x14ac:dyDescent="0.2">
      <c r="A184">
        <v>877</v>
      </c>
      <c r="B184">
        <f t="shared" si="14"/>
        <v>0.877</v>
      </c>
      <c r="C184">
        <f t="shared" si="17"/>
        <v>604</v>
      </c>
      <c r="D184" s="17">
        <f t="shared" si="21"/>
        <v>6.6563845427545468E-2</v>
      </c>
      <c r="E184" s="17">
        <f t="shared" si="21"/>
        <v>0.34782763989417054</v>
      </c>
      <c r="F184" s="17">
        <f t="shared" si="21"/>
        <v>1.7046642727335859E-2</v>
      </c>
      <c r="G184" s="17">
        <f t="shared" si="21"/>
        <v>3.1943317382653033E-2</v>
      </c>
      <c r="H184" s="17">
        <f t="shared" si="21"/>
        <v>5.2667046046488336E-2</v>
      </c>
    </row>
    <row r="185" spans="1:8" x14ac:dyDescent="0.2">
      <c r="A185">
        <v>878</v>
      </c>
      <c r="B185">
        <f t="shared" si="14"/>
        <v>0.878</v>
      </c>
      <c r="C185">
        <f t="shared" si="17"/>
        <v>605</v>
      </c>
      <c r="D185" s="17">
        <f t="shared" si="21"/>
        <v>6.66092319844587E-2</v>
      </c>
      <c r="E185" s="17">
        <f t="shared" si="21"/>
        <v>0.34944538944886105</v>
      </c>
      <c r="F185" s="17">
        <f t="shared" si="21"/>
        <v>1.7078481478841365E-2</v>
      </c>
      <c r="G185" s="17">
        <f t="shared" si="21"/>
        <v>3.1949716541934188E-2</v>
      </c>
      <c r="H185" s="17">
        <f t="shared" si="21"/>
        <v>5.2681870022991933E-2</v>
      </c>
    </row>
    <row r="186" spans="1:8" x14ac:dyDescent="0.2">
      <c r="A186">
        <v>879</v>
      </c>
      <c r="B186">
        <f t="shared" si="14"/>
        <v>0.879</v>
      </c>
      <c r="C186">
        <f t="shared" si="17"/>
        <v>606</v>
      </c>
      <c r="D186" s="17">
        <f t="shared" si="21"/>
        <v>6.6654571234582349E-2</v>
      </c>
      <c r="E186" s="17">
        <f t="shared" si="21"/>
        <v>0.35106981947848398</v>
      </c>
      <c r="F186" s="17">
        <f t="shared" si="21"/>
        <v>1.7110227716601561E-2</v>
      </c>
      <c r="G186" s="17">
        <f t="shared" si="21"/>
        <v>3.1956111047131135E-2</v>
      </c>
      <c r="H186" s="17">
        <f t="shared" si="21"/>
        <v>5.2696667109282259E-2</v>
      </c>
    </row>
    <row r="187" spans="1:8" x14ac:dyDescent="0.2">
      <c r="A187">
        <v>880</v>
      </c>
      <c r="B187">
        <f t="shared" si="14"/>
        <v>0.88</v>
      </c>
      <c r="C187">
        <f t="shared" si="17"/>
        <v>607</v>
      </c>
      <c r="D187" s="17">
        <f t="shared" si="21"/>
        <v>6.6699863181969063E-2</v>
      </c>
      <c r="E187" s="17">
        <f t="shared" si="21"/>
        <v>0.35270094465173585</v>
      </c>
      <c r="F187" s="17">
        <f t="shared" si="21"/>
        <v>1.7141881881772826E-2</v>
      </c>
      <c r="G187" s="17">
        <f t="shared" si="21"/>
        <v>3.1962500882262879E-2</v>
      </c>
      <c r="H187" s="17">
        <f t="shared" si="21"/>
        <v>5.2711437359316896E-2</v>
      </c>
    </row>
    <row r="188" spans="1:8" x14ac:dyDescent="0.2">
      <c r="A188">
        <v>881</v>
      </c>
      <c r="B188">
        <f t="shared" si="14"/>
        <v>0.88100000000000001</v>
      </c>
      <c r="C188">
        <f t="shared" si="17"/>
        <v>608</v>
      </c>
      <c r="D188" s="17">
        <f t="shared" si="21"/>
        <v>6.6745107830848055E-2</v>
      </c>
      <c r="E188" s="17">
        <f t="shared" si="21"/>
        <v>0.35433877963831489</v>
      </c>
      <c r="F188" s="17">
        <f t="shared" si="21"/>
        <v>1.7173444412914882E-2</v>
      </c>
      <c r="G188" s="17">
        <f t="shared" si="21"/>
        <v>3.1968886031485663E-2</v>
      </c>
      <c r="H188" s="17">
        <f t="shared" si="21"/>
        <v>5.2726180827017834E-2</v>
      </c>
    </row>
    <row r="189" spans="1:8" x14ac:dyDescent="0.2">
      <c r="A189">
        <v>882</v>
      </c>
      <c r="B189">
        <f t="shared" si="14"/>
        <v>0.88200000000000001</v>
      </c>
      <c r="C189">
        <f t="shared" si="17"/>
        <v>609</v>
      </c>
      <c r="D189" s="17">
        <f t="shared" si="21"/>
        <v>6.6790305185623955E-2</v>
      </c>
      <c r="E189" s="17">
        <f t="shared" si="21"/>
        <v>0.35598333910891705</v>
      </c>
      <c r="F189" s="17">
        <f t="shared" si="21"/>
        <v>1.7204915746008419E-2</v>
      </c>
      <c r="G189" s="17">
        <f t="shared" si="21"/>
        <v>3.1975266479092088E-2</v>
      </c>
      <c r="H189" s="17">
        <f t="shared" si="21"/>
        <v>5.2740897566271781E-2</v>
      </c>
    </row>
    <row r="190" spans="1:8" x14ac:dyDescent="0.2">
      <c r="A190">
        <v>883</v>
      </c>
      <c r="B190">
        <f t="shared" si="14"/>
        <v>0.88300000000000001</v>
      </c>
      <c r="C190">
        <f t="shared" si="17"/>
        <v>610</v>
      </c>
      <c r="D190" s="17">
        <f t="shared" ref="D190:H199" si="22">(D$73+D$74*$B190+D$75*($B190^2)+D$76*($B190^3)+D$77/($B190^2))/1000</f>
        <v>6.6835455250875447E-2</v>
      </c>
      <c r="E190" s="17">
        <f t="shared" si="22"/>
        <v>0.35763463773522713</v>
      </c>
      <c r="F190" s="17">
        <f t="shared" si="22"/>
        <v>1.7236296314472634E-2</v>
      </c>
      <c r="G190" s="17">
        <f t="shared" si="22"/>
        <v>3.1981642209510143E-2</v>
      </c>
      <c r="H190" s="17">
        <f t="shared" si="22"/>
        <v>5.2755587630930384E-2</v>
      </c>
    </row>
    <row r="191" spans="1:8" x14ac:dyDescent="0.2">
      <c r="A191">
        <v>884</v>
      </c>
      <c r="B191">
        <f t="shared" si="14"/>
        <v>0.88400000000000001</v>
      </c>
      <c r="C191">
        <f t="shared" si="17"/>
        <v>611</v>
      </c>
      <c r="D191" s="17">
        <f t="shared" si="22"/>
        <v>6.688055803135419E-2</v>
      </c>
      <c r="E191" s="17">
        <f t="shared" si="22"/>
        <v>0.35929269018991289</v>
      </c>
      <c r="F191" s="17">
        <f t="shared" si="22"/>
        <v>1.7267586549182583E-2</v>
      </c>
      <c r="G191" s="17">
        <f t="shared" si="22"/>
        <v>3.1988013207302324E-2</v>
      </c>
      <c r="H191" s="17">
        <f t="shared" si="22"/>
        <v>5.2770251074810419E-2</v>
      </c>
    </row>
    <row r="192" spans="1:8" x14ac:dyDescent="0.2">
      <c r="A192">
        <v>885</v>
      </c>
      <c r="B192">
        <f t="shared" ref="B192:B255" si="23">A192/1000</f>
        <v>0.88500000000000001</v>
      </c>
      <c r="C192">
        <f t="shared" si="17"/>
        <v>612</v>
      </c>
      <c r="D192" s="17">
        <f t="shared" si="22"/>
        <v>6.6925613531983674E-2</v>
      </c>
      <c r="E192" s="17">
        <f t="shared" si="22"/>
        <v>0.36095751114661734</v>
      </c>
      <c r="F192" s="17">
        <f t="shared" si="22"/>
        <v>1.7298786878486457E-2</v>
      </c>
      <c r="G192" s="17">
        <f t="shared" si="22"/>
        <v>3.1994379457164671E-2</v>
      </c>
      <c r="H192" s="17">
        <f t="shared" si="22"/>
        <v>5.2784887951694129E-2</v>
      </c>
    </row>
    <row r="193" spans="1:8" x14ac:dyDescent="0.2">
      <c r="A193">
        <v>886</v>
      </c>
      <c r="B193">
        <f t="shared" si="23"/>
        <v>0.88600000000000001</v>
      </c>
      <c r="C193">
        <f t="shared" si="17"/>
        <v>613</v>
      </c>
      <c r="D193" s="17">
        <f t="shared" si="22"/>
        <v>6.6970621757858007E-2</v>
      </c>
      <c r="E193" s="17">
        <f t="shared" si="22"/>
        <v>0.36262911527995301</v>
      </c>
      <c r="F193" s="17">
        <f t="shared" si="22"/>
        <v>1.7329897728222632E-2</v>
      </c>
      <c r="G193" s="17">
        <f t="shared" si="22"/>
        <v>3.200074094392593E-2</v>
      </c>
      <c r="H193" s="17">
        <f t="shared" si="22"/>
        <v>5.279949831532936E-2</v>
      </c>
    </row>
    <row r="194" spans="1:8" x14ac:dyDescent="0.2">
      <c r="A194">
        <v>887</v>
      </c>
      <c r="B194">
        <f t="shared" si="23"/>
        <v>0.88700000000000001</v>
      </c>
      <c r="C194">
        <f t="shared" si="17"/>
        <v>614</v>
      </c>
      <c r="D194" s="17">
        <f t="shared" si="22"/>
        <v>6.7015582714240823E-2</v>
      </c>
      <c r="E194" s="17">
        <f t="shared" si="22"/>
        <v>0.36430751726549676</v>
      </c>
      <c r="F194" s="17">
        <f t="shared" si="22"/>
        <v>1.7360919521736684E-2</v>
      </c>
      <c r="G194" s="17">
        <f t="shared" si="22"/>
        <v>3.2007097652546598E-2</v>
      </c>
      <c r="H194" s="17">
        <f t="shared" si="22"/>
        <v>5.2814082219429827E-2</v>
      </c>
    </row>
    <row r="195" spans="1:8" x14ac:dyDescent="0.2">
      <c r="A195">
        <v>888</v>
      </c>
      <c r="B195">
        <f t="shared" si="23"/>
        <v>0.88800000000000001</v>
      </c>
      <c r="C195">
        <f t="shared" si="17"/>
        <v>615</v>
      </c>
      <c r="D195" s="17">
        <f t="shared" si="22"/>
        <v>6.7060496406564002E-2</v>
      </c>
      <c r="E195" s="17">
        <f t="shared" si="22"/>
        <v>0.36599273177978059</v>
      </c>
      <c r="F195" s="17">
        <f t="shared" si="22"/>
        <v>1.7391852679898193E-2</v>
      </c>
      <c r="G195" s="17">
        <f t="shared" si="22"/>
        <v>3.2013449568118066E-2</v>
      </c>
      <c r="H195" s="17">
        <f t="shared" si="22"/>
        <v>5.2828639717675367E-2</v>
      </c>
    </row>
    <row r="196" spans="1:8" x14ac:dyDescent="0.2">
      <c r="A196">
        <v>889</v>
      </c>
      <c r="B196">
        <f t="shared" si="23"/>
        <v>0.88900000000000001</v>
      </c>
      <c r="C196">
        <f t="shared" si="17"/>
        <v>616</v>
      </c>
      <c r="D196" s="17">
        <f t="shared" si="22"/>
        <v>6.7105362840426688E-2</v>
      </c>
      <c r="E196" s="17">
        <f t="shared" si="22"/>
        <v>0.36768477350028661</v>
      </c>
      <c r="F196" s="17">
        <f t="shared" si="22"/>
        <v>1.7422697621117471E-2</v>
      </c>
      <c r="G196" s="17">
        <f t="shared" si="22"/>
        <v>3.2019796675861724E-2</v>
      </c>
      <c r="H196" s="17">
        <f t="shared" si="22"/>
        <v>5.2843170863712131E-2</v>
      </c>
    </row>
    <row r="197" spans="1:8" x14ac:dyDescent="0.2">
      <c r="A197">
        <v>890</v>
      </c>
      <c r="B197">
        <f t="shared" si="23"/>
        <v>0.89</v>
      </c>
      <c r="C197">
        <f t="shared" si="17"/>
        <v>617</v>
      </c>
      <c r="D197" s="17">
        <f t="shared" si="22"/>
        <v>6.715018202159409E-2</v>
      </c>
      <c r="E197" s="17">
        <f t="shared" si="22"/>
        <v>0.3693836571054408</v>
      </c>
      <c r="F197" s="17">
        <f t="shared" si="22"/>
        <v>1.7453454761362095E-2</v>
      </c>
      <c r="G197" s="17">
        <f t="shared" si="22"/>
        <v>3.2026138961128076E-2</v>
      </c>
      <c r="H197" s="17">
        <f t="shared" si="22"/>
        <v>5.2857675711152866E-2</v>
      </c>
    </row>
    <row r="198" spans="1:8" x14ac:dyDescent="0.2">
      <c r="A198">
        <v>891</v>
      </c>
      <c r="B198">
        <f t="shared" si="23"/>
        <v>0.89100000000000001</v>
      </c>
      <c r="C198">
        <f t="shared" si="17"/>
        <v>618</v>
      </c>
      <c r="D198" s="17">
        <f t="shared" si="22"/>
        <v>6.7194953955996353E-2</v>
      </c>
      <c r="E198" s="17">
        <f t="shared" si="22"/>
        <v>0.37108939727460555</v>
      </c>
      <c r="F198" s="17">
        <f t="shared" si="22"/>
        <v>1.7484124514173398E-2</v>
      </c>
      <c r="G198" s="17">
        <f t="shared" si="22"/>
        <v>3.203247640939591E-2</v>
      </c>
      <c r="H198" s="17">
        <f t="shared" si="22"/>
        <v>5.2872154313577044E-2</v>
      </c>
    </row>
    <row r="199" spans="1:8" x14ac:dyDescent="0.2">
      <c r="A199">
        <v>892</v>
      </c>
      <c r="B199">
        <f t="shared" si="23"/>
        <v>0.89200000000000002</v>
      </c>
      <c r="C199">
        <f t="shared" si="17"/>
        <v>619</v>
      </c>
      <c r="D199" s="17">
        <f t="shared" si="22"/>
        <v>6.7239678649727463E-2</v>
      </c>
      <c r="E199" s="17">
        <f t="shared" si="22"/>
        <v>0.37280200868807667</v>
      </c>
      <c r="F199" s="17">
        <f t="shared" si="22"/>
        <v>1.7514707290682708E-2</v>
      </c>
      <c r="G199" s="17">
        <f t="shared" si="22"/>
        <v>3.2038809006271395E-2</v>
      </c>
      <c r="H199" s="17">
        <f t="shared" si="22"/>
        <v>5.2886606724531188E-2</v>
      </c>
    </row>
    <row r="200" spans="1:8" x14ac:dyDescent="0.2">
      <c r="A200">
        <v>893</v>
      </c>
      <c r="B200">
        <f t="shared" si="23"/>
        <v>0.89300000000000002</v>
      </c>
      <c r="C200">
        <f t="shared" si="17"/>
        <v>620</v>
      </c>
      <c r="D200" s="17">
        <f t="shared" ref="D200:H209" si="24">(D$73+D$74*$B200+D$75*($B200^2)+D$76*($B200^3)+D$77/($B200^2))/1000</f>
        <v>6.7284356109044194E-2</v>
      </c>
      <c r="E200" s="17">
        <f t="shared" si="24"/>
        <v>0.37452150602707068</v>
      </c>
      <c r="F200" s="17">
        <f t="shared" si="24"/>
        <v>1.7545203499627623E-2</v>
      </c>
      <c r="G200" s="17">
        <f t="shared" si="24"/>
        <v>3.2045136737487212E-2</v>
      </c>
      <c r="H200" s="17">
        <f t="shared" si="24"/>
        <v>5.2901032997529053E-2</v>
      </c>
    </row>
    <row r="201" spans="1:8" x14ac:dyDescent="0.2">
      <c r="A201">
        <v>894</v>
      </c>
      <c r="B201">
        <f t="shared" si="23"/>
        <v>0.89400000000000002</v>
      </c>
      <c r="C201">
        <f t="shared" si="17"/>
        <v>621</v>
      </c>
      <c r="D201" s="17">
        <f t="shared" si="24"/>
        <v>6.7328986340364938E-2</v>
      </c>
      <c r="E201" s="17">
        <f t="shared" si="24"/>
        <v>0.37624790397372615</v>
      </c>
      <c r="F201" s="17">
        <f t="shared" si="24"/>
        <v>1.7575613547367978E-2</v>
      </c>
      <c r="G201" s="17">
        <f t="shared" si="24"/>
        <v>3.20514595889018E-2</v>
      </c>
      <c r="H201" s="17">
        <f t="shared" si="24"/>
        <v>5.2915433186051811E-2</v>
      </c>
    </row>
    <row r="202" spans="1:8" x14ac:dyDescent="0.2">
      <c r="A202">
        <v>895</v>
      </c>
      <c r="B202">
        <f t="shared" si="23"/>
        <v>0.89500000000000002</v>
      </c>
      <c r="C202">
        <f t="shared" si="17"/>
        <v>622</v>
      </c>
      <c r="D202" s="17">
        <f t="shared" si="24"/>
        <v>6.7373569350268642E-2</v>
      </c>
      <c r="E202" s="17">
        <f t="shared" si="24"/>
        <v>0.37798121721109157</v>
      </c>
      <c r="F202" s="17">
        <f t="shared" si="24"/>
        <v>1.7605937837901833E-2</v>
      </c>
      <c r="G202" s="17">
        <f t="shared" si="24"/>
        <v>3.2057777546498363E-2</v>
      </c>
      <c r="H202" s="17">
        <f t="shared" si="24"/>
        <v>5.2929807343548338E-2</v>
      </c>
    </row>
    <row r="203" spans="1:8" x14ac:dyDescent="0.2">
      <c r="A203">
        <v>896</v>
      </c>
      <c r="B203">
        <f t="shared" si="23"/>
        <v>0.89600000000000002</v>
      </c>
      <c r="C203">
        <f t="shared" si="17"/>
        <v>623</v>
      </c>
      <c r="D203" s="17">
        <f t="shared" si="24"/>
        <v>6.7418105145493804E-2</v>
      </c>
      <c r="E203" s="17">
        <f t="shared" si="24"/>
        <v>0.37972146042312233</v>
      </c>
      <c r="F203" s="17">
        <f t="shared" si="24"/>
        <v>1.7636176772881269E-2</v>
      </c>
      <c r="G203" s="17">
        <f t="shared" si="24"/>
        <v>3.2064090596384175E-2</v>
      </c>
      <c r="H203" s="17">
        <f t="shared" si="24"/>
        <v>5.2944155523435364E-2</v>
      </c>
    </row>
    <row r="204" spans="1:8" x14ac:dyDescent="0.2">
      <c r="A204">
        <v>897</v>
      </c>
      <c r="B204">
        <f t="shared" si="23"/>
        <v>0.89700000000000002</v>
      </c>
      <c r="C204">
        <f t="shared" si="17"/>
        <v>624</v>
      </c>
      <c r="D204" s="17">
        <f t="shared" si="24"/>
        <v>6.7462593732937323E-2</v>
      </c>
      <c r="E204" s="17">
        <f t="shared" si="24"/>
        <v>0.38146864829467547</v>
      </c>
      <c r="F204" s="17">
        <f t="shared" si="24"/>
        <v>1.7666330751628066E-2</v>
      </c>
      <c r="G204" s="17">
        <f t="shared" si="24"/>
        <v>3.2070398724789687E-2</v>
      </c>
      <c r="H204" s="17">
        <f t="shared" si="24"/>
        <v>5.2958477779097714E-2</v>
      </c>
    </row>
    <row r="205" spans="1:8" x14ac:dyDescent="0.2">
      <c r="A205">
        <v>898</v>
      </c>
      <c r="B205">
        <f t="shared" si="23"/>
        <v>0.89800000000000002</v>
      </c>
      <c r="C205">
        <f t="shared" si="17"/>
        <v>625</v>
      </c>
      <c r="D205" s="17">
        <f t="shared" si="24"/>
        <v>6.7507035119653461E-2</v>
      </c>
      <c r="E205" s="17">
        <f t="shared" si="24"/>
        <v>0.38322279551149946</v>
      </c>
      <c r="F205" s="17">
        <f t="shared" si="24"/>
        <v>1.7696400171149249E-2</v>
      </c>
      <c r="G205" s="17">
        <f t="shared" si="24"/>
        <v>3.2076701918067677E-2</v>
      </c>
      <c r="H205" s="17">
        <f t="shared" si="24"/>
        <v>5.2972774163888556E-2</v>
      </c>
    </row>
    <row r="206" spans="1:8" x14ac:dyDescent="0.2">
      <c r="A206">
        <v>899</v>
      </c>
      <c r="B206">
        <f t="shared" si="23"/>
        <v>0.89900000000000002</v>
      </c>
      <c r="C206">
        <f t="shared" si="17"/>
        <v>626</v>
      </c>
      <c r="D206" s="17">
        <f t="shared" si="24"/>
        <v>6.7551429312852809E-2</v>
      </c>
      <c r="E206" s="17">
        <f t="shared" si="24"/>
        <v>0.38498391676023253</v>
      </c>
      <c r="F206" s="17">
        <f t="shared" si="24"/>
        <v>1.7726385426152551E-2</v>
      </c>
      <c r="G206" s="17">
        <f t="shared" si="24"/>
        <v>3.2083000162692513E-2</v>
      </c>
      <c r="H206" s="17">
        <f t="shared" si="24"/>
        <v>5.298704473112955E-2</v>
      </c>
    </row>
    <row r="207" spans="1:8" x14ac:dyDescent="0.2">
      <c r="A207">
        <v>900</v>
      </c>
      <c r="B207">
        <f t="shared" si="23"/>
        <v>0.9</v>
      </c>
      <c r="C207">
        <f t="shared" si="17"/>
        <v>627</v>
      </c>
      <c r="D207" s="17">
        <f t="shared" si="24"/>
        <v>6.7595776319901227E-2</v>
      </c>
      <c r="E207" s="17">
        <f t="shared" si="24"/>
        <v>0.38675202672839515</v>
      </c>
      <c r="F207" s="17">
        <f t="shared" si="24"/>
        <v>1.7756286909061728E-2</v>
      </c>
      <c r="G207" s="17">
        <f t="shared" si="24"/>
        <v>3.2089293445259258E-2</v>
      </c>
      <c r="H207" s="17">
        <f t="shared" si="24"/>
        <v>5.3001289534111116E-2</v>
      </c>
    </row>
    <row r="208" spans="1:8" x14ac:dyDescent="0.2">
      <c r="A208">
        <v>901</v>
      </c>
      <c r="B208">
        <f t="shared" si="23"/>
        <v>0.90100000000000002</v>
      </c>
      <c r="C208">
        <f t="shared" si="17"/>
        <v>628</v>
      </c>
      <c r="D208" s="17">
        <f t="shared" si="24"/>
        <v>6.7640076148318878E-2</v>
      </c>
      <c r="E208" s="17">
        <f t="shared" si="24"/>
        <v>0.38852714010438416</v>
      </c>
      <c r="F208" s="17">
        <f t="shared" si="24"/>
        <v>1.7786105010031757E-2</v>
      </c>
      <c r="G208" s="17">
        <f t="shared" si="24"/>
        <v>3.2095581752482942E-2</v>
      </c>
      <c r="H208" s="17">
        <f t="shared" si="24"/>
        <v>5.3015508626092583E-2</v>
      </c>
    </row>
    <row r="209" spans="1:8" x14ac:dyDescent="0.2">
      <c r="A209">
        <v>902</v>
      </c>
      <c r="B209">
        <f t="shared" si="23"/>
        <v>0.90200000000000002</v>
      </c>
      <c r="C209">
        <f t="shared" si="17"/>
        <v>629</v>
      </c>
      <c r="D209" s="17">
        <f t="shared" si="24"/>
        <v>6.7684328805779098E-2</v>
      </c>
      <c r="E209" s="17">
        <f t="shared" si="24"/>
        <v>0.39030927157746609</v>
      </c>
      <c r="F209" s="17">
        <f t="shared" si="24"/>
        <v>1.7815840116963928E-2</v>
      </c>
      <c r="G209" s="17">
        <f t="shared" si="24"/>
        <v>3.2101865071197694E-2</v>
      </c>
      <c r="H209" s="17">
        <f t="shared" si="24"/>
        <v>5.3029702060302442E-2</v>
      </c>
    </row>
    <row r="210" spans="1:8" x14ac:dyDescent="0.2">
      <c r="A210">
        <v>903</v>
      </c>
      <c r="B210">
        <f t="shared" si="23"/>
        <v>0.90300000000000002</v>
      </c>
      <c r="C210">
        <f t="shared" ref="C210:C273" si="25">A210-273</f>
        <v>630</v>
      </c>
      <c r="D210" s="17">
        <f t="shared" ref="D210:H219" si="26">(D$73+D$74*$B210+D$75*($B210^2)+D$76*($B210^3)+D$77/($B210^2))/1000</f>
        <v>6.7728534300107418E-2</v>
      </c>
      <c r="E210" s="17">
        <f t="shared" si="26"/>
        <v>0.39209843583777326</v>
      </c>
      <c r="F210" s="17">
        <f t="shared" si="26"/>
        <v>1.7845492615520785E-2</v>
      </c>
      <c r="G210" s="17">
        <f t="shared" si="26"/>
        <v>3.2108143388356006E-2</v>
      </c>
      <c r="H210" s="17">
        <f t="shared" si="26"/>
        <v>5.3043869889938526E-2</v>
      </c>
    </row>
    <row r="211" spans="1:8" x14ac:dyDescent="0.2">
      <c r="A211">
        <v>904</v>
      </c>
      <c r="B211">
        <f t="shared" si="23"/>
        <v>0.90400000000000003</v>
      </c>
      <c r="C211">
        <f t="shared" si="25"/>
        <v>631</v>
      </c>
      <c r="D211" s="17">
        <f t="shared" si="26"/>
        <v>6.7772692639280568E-2</v>
      </c>
      <c r="E211" s="17">
        <f t="shared" si="26"/>
        <v>0.39389464757629611</v>
      </c>
      <c r="F211" s="17">
        <f t="shared" si="26"/>
        <v>1.7875062889140991E-2</v>
      </c>
      <c r="G211" s="17">
        <f t="shared" si="26"/>
        <v>3.2114416691027943E-2</v>
      </c>
      <c r="H211" s="17">
        <f t="shared" si="26"/>
        <v>5.3058012168168245E-2</v>
      </c>
    </row>
    <row r="212" spans="1:8" x14ac:dyDescent="0.2">
      <c r="A212">
        <v>905</v>
      </c>
      <c r="B212">
        <f t="shared" si="23"/>
        <v>0.90500000000000003</v>
      </c>
      <c r="C212">
        <f t="shared" si="25"/>
        <v>632</v>
      </c>
      <c r="D212" s="17">
        <f t="shared" si="26"/>
        <v>6.7816803831425521E-2</v>
      </c>
      <c r="E212" s="17">
        <f t="shared" si="26"/>
        <v>0.3956979214848797</v>
      </c>
      <c r="F212" s="17">
        <f t="shared" si="26"/>
        <v>1.7904551319054107E-2</v>
      </c>
      <c r="G212" s="17">
        <f t="shared" si="26"/>
        <v>3.2120684966400304E-2</v>
      </c>
      <c r="H212" s="17">
        <f t="shared" si="26"/>
        <v>5.3072128948128766E-2</v>
      </c>
    </row>
    <row r="213" spans="1:8" x14ac:dyDescent="0.2">
      <c r="A213">
        <v>906</v>
      </c>
      <c r="B213">
        <f t="shared" si="23"/>
        <v>0.90600000000000003</v>
      </c>
      <c r="C213">
        <f t="shared" si="25"/>
        <v>633</v>
      </c>
      <c r="D213" s="17">
        <f t="shared" si="26"/>
        <v>6.786086788481839E-2</v>
      </c>
      <c r="E213" s="17">
        <f t="shared" si="26"/>
        <v>0.39750827225621593</v>
      </c>
      <c r="F213" s="17">
        <f t="shared" si="26"/>
        <v>1.7933958284295112E-2</v>
      </c>
      <c r="G213" s="17">
        <f t="shared" si="26"/>
        <v>3.2126948201775946E-2</v>
      </c>
      <c r="H213" s="17">
        <f t="shared" si="26"/>
        <v>5.3086220282927185E-2</v>
      </c>
    </row>
    <row r="214" spans="1:8" x14ac:dyDescent="0.2">
      <c r="A214">
        <v>907</v>
      </c>
      <c r="B214">
        <f t="shared" si="23"/>
        <v>0.90700000000000003</v>
      </c>
      <c r="C214">
        <f t="shared" si="25"/>
        <v>634</v>
      </c>
      <c r="D214" s="17">
        <f t="shared" si="26"/>
        <v>6.7904884807883537E-2</v>
      </c>
      <c r="E214" s="17">
        <f t="shared" si="26"/>
        <v>0.39932571458383759</v>
      </c>
      <c r="F214" s="17">
        <f t="shared" si="26"/>
        <v>1.7963284161719033E-2</v>
      </c>
      <c r="G214" s="17">
        <f t="shared" si="26"/>
        <v>3.2133206384572913E-2</v>
      </c>
      <c r="H214" s="17">
        <f t="shared" si="26"/>
        <v>5.3100286225640753E-2</v>
      </c>
    </row>
    <row r="215" spans="1:8" x14ac:dyDescent="0.2">
      <c r="A215">
        <v>908</v>
      </c>
      <c r="B215">
        <f t="shared" si="23"/>
        <v>0.90800000000000003</v>
      </c>
      <c r="C215">
        <f t="shared" si="25"/>
        <v>635</v>
      </c>
      <c r="D215" s="17">
        <f t="shared" si="26"/>
        <v>6.7948854609192547E-2</v>
      </c>
      <c r="E215" s="17">
        <f t="shared" si="26"/>
        <v>0.40115026316211694</v>
      </c>
      <c r="F215" s="17">
        <f t="shared" si="26"/>
        <v>1.7992529326015253E-2</v>
      </c>
      <c r="G215" s="17">
        <f t="shared" si="26"/>
        <v>3.2139459502323782E-2</v>
      </c>
      <c r="H215" s="17">
        <f t="shared" si="26"/>
        <v>5.3114326829317104E-2</v>
      </c>
    </row>
    <row r="216" spans="1:8" x14ac:dyDescent="0.2">
      <c r="A216">
        <v>909</v>
      </c>
      <c r="B216">
        <f t="shared" si="23"/>
        <v>0.90900000000000003</v>
      </c>
      <c r="C216">
        <f t="shared" si="25"/>
        <v>636</v>
      </c>
      <c r="D216" s="17">
        <f t="shared" si="26"/>
        <v>6.7992777297463267E-2</v>
      </c>
      <c r="E216" s="17">
        <f t="shared" si="26"/>
        <v>0.40298193268625454</v>
      </c>
      <c r="F216" s="17">
        <f t="shared" si="26"/>
        <v>1.8021694149721809E-2</v>
      </c>
      <c r="G216" s="17">
        <f t="shared" si="26"/>
        <v>3.2145707542674803E-2</v>
      </c>
      <c r="H216" s="17">
        <f t="shared" si="26"/>
        <v>5.3128342146974414E-2</v>
      </c>
    </row>
    <row r="217" spans="1:8" x14ac:dyDescent="0.2">
      <c r="A217">
        <v>910</v>
      </c>
      <c r="B217">
        <f t="shared" si="23"/>
        <v>0.91</v>
      </c>
      <c r="C217">
        <f t="shared" si="25"/>
        <v>637</v>
      </c>
      <c r="D217" s="17">
        <f t="shared" si="26"/>
        <v>6.8036652881558815E-2</v>
      </c>
      <c r="E217" s="17">
        <f t="shared" si="26"/>
        <v>0.40482073785227685</v>
      </c>
      <c r="F217" s="17">
        <f t="shared" si="26"/>
        <v>1.8050779003239637E-2</v>
      </c>
      <c r="G217" s="17">
        <f t="shared" si="26"/>
        <v>3.2151950493385227E-2</v>
      </c>
      <c r="H217" s="17">
        <f t="shared" si="26"/>
        <v>5.3142332231601572E-2</v>
      </c>
    </row>
    <row r="218" spans="1:8" x14ac:dyDescent="0.2">
      <c r="A218">
        <v>911</v>
      </c>
      <c r="B218">
        <f t="shared" si="23"/>
        <v>0.91100000000000003</v>
      </c>
      <c r="C218">
        <f t="shared" si="25"/>
        <v>638</v>
      </c>
      <c r="D218" s="17">
        <f t="shared" si="26"/>
        <v>6.8080481370486695E-2</v>
      </c>
      <c r="E218" s="17">
        <f t="shared" si="26"/>
        <v>0.40666669335703248</v>
      </c>
      <c r="F218" s="17">
        <f t="shared" si="26"/>
        <v>1.8079784254846559E-2</v>
      </c>
      <c r="G218" s="17">
        <f t="shared" si="26"/>
        <v>3.2158188342326532E-2</v>
      </c>
      <c r="H218" s="17">
        <f t="shared" si="26"/>
        <v>5.3156297136158437E-2</v>
      </c>
    </row>
    <row r="219" spans="1:8" x14ac:dyDescent="0.2">
      <c r="A219">
        <v>912</v>
      </c>
      <c r="B219">
        <f t="shared" si="23"/>
        <v>0.91200000000000003</v>
      </c>
      <c r="C219">
        <f t="shared" si="25"/>
        <v>639</v>
      </c>
      <c r="D219" s="17">
        <f t="shared" si="26"/>
        <v>6.8124262773397767E-2</v>
      </c>
      <c r="E219" s="17">
        <f t="shared" si="26"/>
        <v>0.40851981389818265</v>
      </c>
      <c r="F219" s="17">
        <f t="shared" si="26"/>
        <v>1.8108710270711263E-2</v>
      </c>
      <c r="G219" s="17">
        <f t="shared" si="26"/>
        <v>3.2164421077481666E-2</v>
      </c>
      <c r="H219" s="17">
        <f t="shared" si="26"/>
        <v>5.3170236913575954E-2</v>
      </c>
    </row>
    <row r="220" spans="1:8" x14ac:dyDescent="0.2">
      <c r="A220">
        <v>913</v>
      </c>
      <c r="B220">
        <f t="shared" si="23"/>
        <v>0.91300000000000003</v>
      </c>
      <c r="C220">
        <f t="shared" si="25"/>
        <v>640</v>
      </c>
      <c r="D220" s="17">
        <f t="shared" ref="D220:H229" si="27">(D$73+D$74*$B220+D$75*($B220^2)+D$76*($B220^3)+D$77/($B220^2))/1000</f>
        <v>6.816799709958539E-2</v>
      </c>
      <c r="E220" s="17">
        <f t="shared" si="27"/>
        <v>0.41038011417419867</v>
      </c>
      <c r="F220" s="17">
        <f t="shared" si="27"/>
        <v>1.8137557414907204E-2</v>
      </c>
      <c r="G220" s="17">
        <f t="shared" si="27"/>
        <v>3.2170648686944373E-2</v>
      </c>
      <c r="H220" s="17">
        <f t="shared" si="27"/>
        <v>5.318415161675643E-2</v>
      </c>
    </row>
    <row r="221" spans="1:8" x14ac:dyDescent="0.2">
      <c r="A221">
        <v>914</v>
      </c>
      <c r="B221">
        <f t="shared" si="23"/>
        <v>0.91400000000000003</v>
      </c>
      <c r="C221">
        <f t="shared" si="25"/>
        <v>641</v>
      </c>
      <c r="D221" s="17">
        <f t="shared" si="27"/>
        <v>6.8211684358484403E-2</v>
      </c>
      <c r="E221" s="17">
        <f t="shared" si="27"/>
        <v>0.41224760888435585</v>
      </c>
      <c r="F221" s="17">
        <f t="shared" si="27"/>
        <v>1.8166326049426283E-2</v>
      </c>
      <c r="G221" s="17">
        <f t="shared" si="27"/>
        <v>3.2176871158918395E-2</v>
      </c>
      <c r="H221" s="17">
        <f t="shared" si="27"/>
        <v>5.3198041298573667E-2</v>
      </c>
    </row>
    <row r="222" spans="1:8" x14ac:dyDescent="0.2">
      <c r="A222">
        <v>915</v>
      </c>
      <c r="B222">
        <f t="shared" si="23"/>
        <v>0.91500000000000004</v>
      </c>
      <c r="C222">
        <f t="shared" si="25"/>
        <v>642</v>
      </c>
      <c r="D222" s="17">
        <f t="shared" si="27"/>
        <v>6.8255324559670247E-2</v>
      </c>
      <c r="E222" s="17">
        <f t="shared" si="27"/>
        <v>0.41412231272872768</v>
      </c>
      <c r="F222" s="17">
        <f t="shared" si="27"/>
        <v>1.8195016534192546E-2</v>
      </c>
      <c r="G222" s="17">
        <f t="shared" si="27"/>
        <v>3.2183088481716818E-2</v>
      </c>
      <c r="H222" s="17">
        <f t="shared" si="27"/>
        <v>5.3211906011873117E-2</v>
      </c>
    </row>
    <row r="223" spans="1:8" x14ac:dyDescent="0.2">
      <c r="A223">
        <v>916</v>
      </c>
      <c r="B223">
        <f t="shared" si="23"/>
        <v>0.91600000000000004</v>
      </c>
      <c r="C223">
        <f t="shared" si="25"/>
        <v>643</v>
      </c>
      <c r="D223" s="17">
        <f t="shared" si="27"/>
        <v>6.8298917712858009E-2</v>
      </c>
      <c r="E223" s="17">
        <f t="shared" si="27"/>
        <v>0.41600424040818279</v>
      </c>
      <c r="F223" s="17">
        <f t="shared" si="27"/>
        <v>1.8223629227075662E-2</v>
      </c>
      <c r="G223" s="17">
        <f t="shared" si="27"/>
        <v>3.2189300643761291E-2</v>
      </c>
      <c r="H223" s="17">
        <f t="shared" si="27"/>
        <v>5.3225745809472161E-2</v>
      </c>
    </row>
    <row r="224" spans="1:8" x14ac:dyDescent="0.2">
      <c r="A224">
        <v>917</v>
      </c>
      <c r="B224">
        <f t="shared" si="23"/>
        <v>0.91700000000000004</v>
      </c>
      <c r="C224">
        <f t="shared" si="25"/>
        <v>644</v>
      </c>
      <c r="D224" s="17">
        <f t="shared" si="27"/>
        <v>6.8342463827901545E-2</v>
      </c>
      <c r="E224" s="17">
        <f t="shared" si="27"/>
        <v>0.41789340662437574</v>
      </c>
      <c r="F224" s="17">
        <f t="shared" si="27"/>
        <v>1.8252164483904428E-2</v>
      </c>
      <c r="G224" s="17">
        <f t="shared" si="27"/>
        <v>3.2195507633581366E-2</v>
      </c>
      <c r="H224" s="17">
        <f t="shared" si="27"/>
        <v>5.3239560744160183E-2</v>
      </c>
    </row>
    <row r="225" spans="1:8" x14ac:dyDescent="0.2">
      <c r="A225">
        <v>918</v>
      </c>
      <c r="B225">
        <f t="shared" si="23"/>
        <v>0.91800000000000004</v>
      </c>
      <c r="C225">
        <f t="shared" si="25"/>
        <v>645</v>
      </c>
      <c r="D225" s="17">
        <f t="shared" si="27"/>
        <v>6.838596291479257E-2</v>
      </c>
      <c r="E225" s="17">
        <f t="shared" si="27"/>
        <v>0.41978982607974646</v>
      </c>
      <c r="F225" s="17">
        <f t="shared" si="27"/>
        <v>1.8280622658480052E-2</v>
      </c>
      <c r="G225" s="17">
        <f t="shared" si="27"/>
        <v>3.2201709439813792E-2</v>
      </c>
      <c r="H225" s="17">
        <f t="shared" si="27"/>
        <v>5.3253350868698861E-2</v>
      </c>
    </row>
    <row r="226" spans="1:8" x14ac:dyDescent="0.2">
      <c r="A226">
        <v>919</v>
      </c>
      <c r="B226">
        <f t="shared" si="23"/>
        <v>0.91900000000000004</v>
      </c>
      <c r="C226">
        <f t="shared" si="25"/>
        <v>646</v>
      </c>
      <c r="D226" s="17">
        <f t="shared" si="27"/>
        <v>6.8429414983659786E-2</v>
      </c>
      <c r="E226" s="17">
        <f t="shared" si="27"/>
        <v>0.42169351347751233</v>
      </c>
      <c r="F226" s="17">
        <f t="shared" si="27"/>
        <v>1.8309004102589378E-2</v>
      </c>
      <c r="G226" s="17">
        <f t="shared" si="27"/>
        <v>3.2207906051201746E-2</v>
      </c>
      <c r="H226" s="17">
        <f t="shared" si="27"/>
        <v>5.3267116235822261E-2</v>
      </c>
    </row>
    <row r="227" spans="1:8" x14ac:dyDescent="0.2">
      <c r="A227">
        <v>920</v>
      </c>
      <c r="B227">
        <f t="shared" si="23"/>
        <v>0.92</v>
      </c>
      <c r="C227">
        <f t="shared" si="25"/>
        <v>647</v>
      </c>
      <c r="D227" s="17">
        <f t="shared" si="27"/>
        <v>6.8472820044767818E-2</v>
      </c>
      <c r="E227" s="17">
        <f t="shared" si="27"/>
        <v>0.42360448352166324</v>
      </c>
      <c r="F227" s="17">
        <f t="shared" si="27"/>
        <v>1.833730916601806E-2</v>
      </c>
      <c r="G227" s="17">
        <f t="shared" si="27"/>
        <v>3.2214097456594266E-2</v>
      </c>
      <c r="H227" s="17">
        <f t="shared" si="27"/>
        <v>5.328085689823709E-2</v>
      </c>
    </row>
    <row r="228" spans="1:8" x14ac:dyDescent="0.2">
      <c r="A228">
        <v>921</v>
      </c>
      <c r="B228">
        <f t="shared" si="23"/>
        <v>0.92100000000000004</v>
      </c>
      <c r="C228">
        <f t="shared" si="25"/>
        <v>648</v>
      </c>
      <c r="D228" s="17">
        <f t="shared" si="27"/>
        <v>6.8516178108516623E-2</v>
      </c>
      <c r="E228" s="17">
        <f t="shared" si="27"/>
        <v>0.42552275091695835</v>
      </c>
      <c r="F228" s="17">
        <f t="shared" si="27"/>
        <v>1.8365538196563544E-2</v>
      </c>
      <c r="G228" s="17">
        <f t="shared" si="27"/>
        <v>3.2220283644945433E-2</v>
      </c>
      <c r="H228" s="17">
        <f t="shared" si="27"/>
        <v>5.3294572908622807E-2</v>
      </c>
    </row>
    <row r="229" spans="1:8" x14ac:dyDescent="0.2">
      <c r="A229">
        <v>922</v>
      </c>
      <c r="B229">
        <f t="shared" si="23"/>
        <v>0.92200000000000004</v>
      </c>
      <c r="C229">
        <f t="shared" si="25"/>
        <v>649</v>
      </c>
      <c r="D229" s="17">
        <f t="shared" si="27"/>
        <v>6.8559489185440373E-2</v>
      </c>
      <c r="E229" s="17">
        <f t="shared" si="27"/>
        <v>0.42744833036891722</v>
      </c>
      <c r="F229" s="17">
        <f t="shared" si="27"/>
        <v>1.8393691540048038E-2</v>
      </c>
      <c r="G229" s="17">
        <f t="shared" si="27"/>
        <v>3.2226464605313754E-2</v>
      </c>
      <c r="H229" s="17">
        <f t="shared" si="27"/>
        <v>5.3308264319631815E-2</v>
      </c>
    </row>
    <row r="230" spans="1:8" x14ac:dyDescent="0.2">
      <c r="A230">
        <v>923</v>
      </c>
      <c r="B230">
        <f t="shared" si="23"/>
        <v>0.92300000000000004</v>
      </c>
      <c r="C230">
        <f t="shared" si="25"/>
        <v>650</v>
      </c>
      <c r="D230" s="17">
        <f t="shared" ref="D230:H239" si="28">(D$73+D$74*$B230+D$75*($B230^2)+D$76*($B230^3)+D$77/($B230^2))/1000</f>
        <v>6.860275328620663E-2</v>
      </c>
      <c r="E230" s="17">
        <f t="shared" si="28"/>
        <v>0.42938123658381971</v>
      </c>
      <c r="F230" s="17">
        <f t="shared" si="28"/>
        <v>1.8421769540331333E-2</v>
      </c>
      <c r="G230" s="17">
        <f t="shared" si="28"/>
        <v>3.223264032686151E-2</v>
      </c>
      <c r="H230" s="17">
        <f t="shared" si="28"/>
        <v>5.3321931183889698E-2</v>
      </c>
    </row>
    <row r="231" spans="1:8" x14ac:dyDescent="0.2">
      <c r="A231">
        <v>924</v>
      </c>
      <c r="B231">
        <f t="shared" si="23"/>
        <v>0.92400000000000004</v>
      </c>
      <c r="C231">
        <f t="shared" si="25"/>
        <v>651</v>
      </c>
      <c r="D231" s="17">
        <f t="shared" si="28"/>
        <v>6.8645970421615576E-2</v>
      </c>
      <c r="E231" s="17">
        <f t="shared" si="28"/>
        <v>0.43132148426869904</v>
      </c>
      <c r="F231" s="17">
        <f t="shared" si="28"/>
        <v>1.8449772539323499E-2</v>
      </c>
      <c r="G231" s="17">
        <f t="shared" si="28"/>
        <v>3.2238810798853962E-2</v>
      </c>
      <c r="H231" s="17">
        <f t="shared" si="28"/>
        <v>5.3335573553995291E-2</v>
      </c>
    </row>
    <row r="232" spans="1:8" x14ac:dyDescent="0.2">
      <c r="A232">
        <v>925</v>
      </c>
      <c r="B232">
        <f t="shared" si="23"/>
        <v>0.92500000000000004</v>
      </c>
      <c r="C232">
        <f t="shared" si="25"/>
        <v>652</v>
      </c>
      <c r="D232" s="17">
        <f t="shared" si="28"/>
        <v>6.8689140602599022E-2</v>
      </c>
      <c r="E232" s="17">
        <f t="shared" si="28"/>
        <v>0.43326908813133441</v>
      </c>
      <c r="F232" s="17">
        <f t="shared" si="28"/>
        <v>1.8477700876997606E-2</v>
      </c>
      <c r="G232" s="17">
        <f t="shared" si="28"/>
        <v>3.2244976010658871E-2</v>
      </c>
      <c r="H232" s="17">
        <f t="shared" si="28"/>
        <v>5.3349191482520986E-2</v>
      </c>
    </row>
    <row r="233" spans="1:8" x14ac:dyDescent="0.2">
      <c r="A233">
        <v>926</v>
      </c>
      <c r="B233">
        <f t="shared" si="23"/>
        <v>0.92600000000000005</v>
      </c>
      <c r="C233">
        <f t="shared" si="25"/>
        <v>653</v>
      </c>
      <c r="D233" s="17">
        <f t="shared" si="28"/>
        <v>6.8732263840219701E-2</v>
      </c>
      <c r="E233" s="17">
        <f t="shared" si="28"/>
        <v>0.43522406288025089</v>
      </c>
      <c r="F233" s="17">
        <f t="shared" si="28"/>
        <v>1.8505554891402192E-2</v>
      </c>
      <c r="G233" s="17">
        <f t="shared" si="28"/>
        <v>3.2251135951745662E-2</v>
      </c>
      <c r="H233" s="17">
        <f t="shared" si="28"/>
        <v>5.3362785022012756E-2</v>
      </c>
    </row>
    <row r="234" spans="1:8" x14ac:dyDescent="0.2">
      <c r="A234">
        <v>927</v>
      </c>
      <c r="B234">
        <f t="shared" si="23"/>
        <v>0.92700000000000005</v>
      </c>
      <c r="C234">
        <f t="shared" si="25"/>
        <v>654</v>
      </c>
      <c r="D234" s="17">
        <f t="shared" si="28"/>
        <v>6.877534014567023E-2</v>
      </c>
      <c r="E234" s="17">
        <f t="shared" si="28"/>
        <v>0.43718642322471085</v>
      </c>
      <c r="F234" s="17">
        <f t="shared" si="28"/>
        <v>1.8533334918673761E-2</v>
      </c>
      <c r="G234" s="17">
        <f t="shared" si="28"/>
        <v>3.2257290611684836E-2</v>
      </c>
      <c r="H234" s="17">
        <f t="shared" si="28"/>
        <v>5.3376354224990444E-2</v>
      </c>
    </row>
    <row r="235" spans="1:8" x14ac:dyDescent="0.2">
      <c r="A235">
        <v>928</v>
      </c>
      <c r="B235">
        <f t="shared" si="23"/>
        <v>0.92800000000000005</v>
      </c>
      <c r="C235">
        <f t="shared" si="25"/>
        <v>655</v>
      </c>
      <c r="D235" s="17">
        <f t="shared" si="28"/>
        <v>6.8818369530272525E-2</v>
      </c>
      <c r="E235" s="17">
        <f t="shared" si="28"/>
        <v>0.43915618387471045</v>
      </c>
      <c r="F235" s="17">
        <f t="shared" si="28"/>
        <v>1.8561041293049113E-2</v>
      </c>
      <c r="G235" s="17">
        <f t="shared" si="28"/>
        <v>3.2263439980147364E-2</v>
      </c>
      <c r="H235" s="17">
        <f t="shared" si="28"/>
        <v>5.3389899143947837E-2</v>
      </c>
    </row>
    <row r="236" spans="1:8" x14ac:dyDescent="0.2">
      <c r="A236">
        <v>929</v>
      </c>
      <c r="B236">
        <f t="shared" si="23"/>
        <v>0.92900000000000005</v>
      </c>
      <c r="C236">
        <f t="shared" si="25"/>
        <v>656</v>
      </c>
      <c r="D236" s="17">
        <f t="shared" si="28"/>
        <v>6.8861352005476675E-2</v>
      </c>
      <c r="E236" s="17">
        <f t="shared" si="28"/>
        <v>0.44113335954097482</v>
      </c>
      <c r="F236" s="17">
        <f t="shared" si="28"/>
        <v>1.8588674346877613E-2</v>
      </c>
      <c r="G236" s="17">
        <f t="shared" si="28"/>
        <v>3.2269584046903908E-2</v>
      </c>
      <c r="H236" s="17">
        <f t="shared" si="28"/>
        <v>5.3403419831352952E-2</v>
      </c>
    </row>
    <row r="237" spans="1:8" x14ac:dyDescent="0.2">
      <c r="A237">
        <v>930</v>
      </c>
      <c r="B237">
        <f t="shared" si="23"/>
        <v>0.93</v>
      </c>
      <c r="C237">
        <f t="shared" si="25"/>
        <v>657</v>
      </c>
      <c r="D237" s="17">
        <f t="shared" si="28"/>
        <v>6.8904287582860352E-2</v>
      </c>
      <c r="E237" s="17">
        <f t="shared" si="28"/>
        <v>0.44311796493495342</v>
      </c>
      <c r="F237" s="17">
        <f t="shared" si="28"/>
        <v>1.861623441063336E-2</v>
      </c>
      <c r="G237" s="17">
        <f t="shared" si="28"/>
        <v>3.227572280182435E-2</v>
      </c>
      <c r="H237" s="17">
        <f t="shared" si="28"/>
        <v>5.3416916339648075E-2</v>
      </c>
    </row>
    <row r="238" spans="1:8" x14ac:dyDescent="0.2">
      <c r="A238">
        <v>931</v>
      </c>
      <c r="B238">
        <f t="shared" si="23"/>
        <v>0.93100000000000005</v>
      </c>
      <c r="C238">
        <f t="shared" si="25"/>
        <v>658</v>
      </c>
      <c r="D238" s="17">
        <f t="shared" si="28"/>
        <v>6.8947176274127858E-2</v>
      </c>
      <c r="E238" s="17">
        <f t="shared" si="28"/>
        <v>0.44511001476881729</v>
      </c>
      <c r="F238" s="17">
        <f t="shared" si="28"/>
        <v>1.8643721812927283E-2</v>
      </c>
      <c r="G238" s="17">
        <f t="shared" si="28"/>
        <v>3.2281856234876997E-2</v>
      </c>
      <c r="H238" s="17">
        <f t="shared" si="28"/>
        <v>5.3430388721250013E-2</v>
      </c>
    </row>
    <row r="239" spans="1:8" x14ac:dyDescent="0.2">
      <c r="A239">
        <v>932</v>
      </c>
      <c r="B239">
        <f t="shared" si="23"/>
        <v>0.93200000000000005</v>
      </c>
      <c r="C239">
        <f t="shared" si="25"/>
        <v>659</v>
      </c>
      <c r="D239" s="17">
        <f t="shared" si="28"/>
        <v>6.899001809110944E-2</v>
      </c>
      <c r="E239" s="17">
        <f t="shared" si="28"/>
        <v>0.4471095237554501</v>
      </c>
      <c r="F239" s="17">
        <f t="shared" si="28"/>
        <v>1.8671136880519107E-2</v>
      </c>
      <c r="G239" s="17">
        <f t="shared" si="28"/>
        <v>3.2287984336128048E-2</v>
      </c>
      <c r="H239" s="17">
        <f t="shared" si="28"/>
        <v>5.3443837028550226E-2</v>
      </c>
    </row>
    <row r="240" spans="1:8" x14ac:dyDescent="0.2">
      <c r="A240">
        <v>933</v>
      </c>
      <c r="B240">
        <f t="shared" si="23"/>
        <v>0.93300000000000005</v>
      </c>
      <c r="C240">
        <f t="shared" si="25"/>
        <v>660</v>
      </c>
      <c r="D240" s="17">
        <f t="shared" ref="D240:H249" si="29">(D$73+D$74*$B240+D$75*($B240^2)+D$76*($B240^3)+D$77/($B240^2))/1000</f>
        <v>6.9032813045760241E-2</v>
      </c>
      <c r="E240" s="17">
        <f t="shared" si="29"/>
        <v>0.44911650660844665</v>
      </c>
      <c r="F240" s="17">
        <f t="shared" si="29"/>
        <v>1.8698479938329248E-2</v>
      </c>
      <c r="G240" s="17">
        <f t="shared" si="29"/>
        <v>3.2294107095740911E-2</v>
      </c>
      <c r="H240" s="17">
        <f t="shared" si="29"/>
        <v>5.3457261313914983E-2</v>
      </c>
    </row>
    <row r="241" spans="1:8" x14ac:dyDescent="0.2">
      <c r="A241">
        <v>934</v>
      </c>
      <c r="B241">
        <f t="shared" si="23"/>
        <v>0.93400000000000005</v>
      </c>
      <c r="C241">
        <f t="shared" si="25"/>
        <v>661</v>
      </c>
      <c r="D241" s="17">
        <f t="shared" si="29"/>
        <v>6.9075561150159753E-2</v>
      </c>
      <c r="E241" s="17">
        <f t="shared" si="29"/>
        <v>0.45113097804210744</v>
      </c>
      <c r="F241" s="17">
        <f t="shared" si="29"/>
        <v>1.8725751309450665E-2</v>
      </c>
      <c r="G241" s="17">
        <f t="shared" si="29"/>
        <v>3.2300224503975607E-2</v>
      </c>
      <c r="H241" s="17">
        <f t="shared" si="29"/>
        <v>5.3470661629685536E-2</v>
      </c>
    </row>
    <row r="242" spans="1:8" x14ac:dyDescent="0.2">
      <c r="A242">
        <v>935</v>
      </c>
      <c r="B242">
        <f t="shared" si="23"/>
        <v>0.93500000000000005</v>
      </c>
      <c r="C242">
        <f t="shared" si="25"/>
        <v>662</v>
      </c>
      <c r="D242" s="17">
        <f t="shared" si="29"/>
        <v>6.911826241651095E-2</v>
      </c>
      <c r="E242" s="17">
        <f t="shared" si="29"/>
        <v>0.45315295277143597</v>
      </c>
      <c r="F242" s="17">
        <f t="shared" si="29"/>
        <v>1.875295131516053E-2</v>
      </c>
      <c r="G242" s="17">
        <f t="shared" si="29"/>
        <v>3.2306336551188149E-2</v>
      </c>
      <c r="H242" s="17">
        <f t="shared" si="29"/>
        <v>5.3484038028178311E-2</v>
      </c>
    </row>
    <row r="243" spans="1:8" x14ac:dyDescent="0.2">
      <c r="A243">
        <v>936</v>
      </c>
      <c r="B243">
        <f t="shared" si="23"/>
        <v>0.93600000000000005</v>
      </c>
      <c r="C243">
        <f t="shared" si="25"/>
        <v>663</v>
      </c>
      <c r="D243" s="17">
        <f t="shared" si="29"/>
        <v>6.9160916857139376E-2</v>
      </c>
      <c r="E243" s="17">
        <f t="shared" si="29"/>
        <v>0.45518244551213061</v>
      </c>
      <c r="F243" s="17">
        <f t="shared" si="29"/>
        <v>1.8780080274931867E-2</v>
      </c>
      <c r="G243" s="17">
        <f t="shared" si="29"/>
        <v>3.231244322782989E-2</v>
      </c>
      <c r="H243" s="17">
        <f t="shared" si="29"/>
        <v>5.3497390561684996E-2</v>
      </c>
    </row>
    <row r="244" spans="1:8" x14ac:dyDescent="0.2">
      <c r="A244">
        <v>937</v>
      </c>
      <c r="B244">
        <f t="shared" si="23"/>
        <v>0.93700000000000006</v>
      </c>
      <c r="C244">
        <f t="shared" si="25"/>
        <v>664</v>
      </c>
      <c r="D244" s="17">
        <f t="shared" si="29"/>
        <v>6.9203524484492462E-2</v>
      </c>
      <c r="E244" s="17">
        <f t="shared" si="29"/>
        <v>0.45721947098058358</v>
      </c>
      <c r="F244" s="17">
        <f t="shared" si="29"/>
        <v>1.8807138506445126E-2</v>
      </c>
      <c r="G244" s="17">
        <f t="shared" si="29"/>
        <v>3.2318544524446977E-2</v>
      </c>
      <c r="H244" s="17">
        <f t="shared" si="29"/>
        <v>5.3510719282472745E-2</v>
      </c>
    </row>
    <row r="245" spans="1:8" x14ac:dyDescent="0.2">
      <c r="A245">
        <v>938</v>
      </c>
      <c r="B245">
        <f t="shared" si="23"/>
        <v>0.93799999999999994</v>
      </c>
      <c r="C245">
        <f t="shared" si="25"/>
        <v>665</v>
      </c>
      <c r="D245" s="17">
        <f t="shared" si="29"/>
        <v>6.9246085311138753E-2</v>
      </c>
      <c r="E245" s="17">
        <f t="shared" si="29"/>
        <v>0.45926404389387382</v>
      </c>
      <c r="F245" s="17">
        <f t="shared" si="29"/>
        <v>1.8834126325599661E-2</v>
      </c>
      <c r="G245" s="17">
        <f t="shared" si="29"/>
        <v>3.2324640431679701E-2</v>
      </c>
      <c r="H245" s="17">
        <f t="shared" si="29"/>
        <v>5.3524024242784345E-2</v>
      </c>
    </row>
    <row r="246" spans="1:8" x14ac:dyDescent="0.2">
      <c r="A246">
        <v>939</v>
      </c>
      <c r="B246">
        <f t="shared" si="23"/>
        <v>0.93899999999999995</v>
      </c>
      <c r="C246">
        <f t="shared" si="25"/>
        <v>666</v>
      </c>
      <c r="D246" s="17">
        <f t="shared" si="29"/>
        <v>6.928859934976718E-2</v>
      </c>
      <c r="E246" s="17">
        <f t="shared" si="29"/>
        <v>0.46131617896976501</v>
      </c>
      <c r="F246" s="17">
        <f t="shared" si="29"/>
        <v>1.8861044046525017E-2</v>
      </c>
      <c r="G246" s="17">
        <f t="shared" si="29"/>
        <v>3.233073094026187E-2</v>
      </c>
      <c r="H246" s="17">
        <f t="shared" si="29"/>
        <v>5.353730549483833E-2</v>
      </c>
    </row>
    <row r="247" spans="1:8" x14ac:dyDescent="0.2">
      <c r="A247">
        <v>940</v>
      </c>
      <c r="B247">
        <f t="shared" si="23"/>
        <v>0.94</v>
      </c>
      <c r="C247">
        <f t="shared" si="25"/>
        <v>667</v>
      </c>
      <c r="D247" s="17">
        <f t="shared" si="29"/>
        <v>6.933106661318611E-2</v>
      </c>
      <c r="E247" s="17">
        <f t="shared" si="29"/>
        <v>0.46337589092669973</v>
      </c>
      <c r="F247" s="17">
        <f t="shared" si="29"/>
        <v>1.8887891981592332E-2</v>
      </c>
      <c r="G247" s="17">
        <f t="shared" si="29"/>
        <v>3.233681604102033E-2</v>
      </c>
      <c r="H247" s="17">
        <f t="shared" si="29"/>
        <v>5.3550563090829187E-2</v>
      </c>
    </row>
    <row r="248" spans="1:8" x14ac:dyDescent="0.2">
      <c r="A248">
        <v>941</v>
      </c>
      <c r="B248">
        <f t="shared" si="23"/>
        <v>0.94099999999999995</v>
      </c>
      <c r="C248">
        <f t="shared" si="25"/>
        <v>668</v>
      </c>
      <c r="D248" s="17">
        <f t="shared" si="29"/>
        <v>6.9373487114322771E-2</v>
      </c>
      <c r="E248" s="17">
        <f t="shared" si="29"/>
        <v>0.46544319448379556</v>
      </c>
      <c r="F248" s="17">
        <f t="shared" si="29"/>
        <v>1.8914670441425436E-2</v>
      </c>
      <c r="G248" s="17">
        <f t="shared" si="29"/>
        <v>3.2342895724874185E-2</v>
      </c>
      <c r="H248" s="17">
        <f t="shared" si="29"/>
        <v>5.3563797082927474E-2</v>
      </c>
    </row>
    <row r="249" spans="1:8" x14ac:dyDescent="0.2">
      <c r="A249">
        <v>942</v>
      </c>
      <c r="B249">
        <f t="shared" si="23"/>
        <v>0.94199999999999995</v>
      </c>
      <c r="C249">
        <f t="shared" si="25"/>
        <v>669</v>
      </c>
      <c r="D249" s="17">
        <f t="shared" si="29"/>
        <v>6.9415860866222368E-2</v>
      </c>
      <c r="E249" s="17">
        <f t="shared" si="29"/>
        <v>0.46751810436084024</v>
      </c>
      <c r="F249" s="17">
        <f t="shared" si="29"/>
        <v>1.8941379734912077E-2</v>
      </c>
      <c r="G249" s="17">
        <f t="shared" si="29"/>
        <v>3.2348969982834382E-2</v>
      </c>
      <c r="H249" s="17">
        <f t="shared" si="29"/>
        <v>5.3577007523279964E-2</v>
      </c>
    </row>
    <row r="250" spans="1:8" x14ac:dyDescent="0.2">
      <c r="A250">
        <v>943</v>
      </c>
      <c r="B250">
        <f t="shared" si="23"/>
        <v>0.94299999999999995</v>
      </c>
      <c r="C250">
        <f t="shared" si="25"/>
        <v>670</v>
      </c>
      <c r="D250" s="17">
        <f t="shared" ref="D250:H259" si="30">(D$73+D$74*$B250+D$75*($B250^2)+D$76*($B250^3)+D$77/($B250^2))/1000</f>
        <v>6.9458187882047481E-2</v>
      </c>
      <c r="E250" s="17">
        <f t="shared" si="30"/>
        <v>0.46960063527828805</v>
      </c>
      <c r="F250" s="17">
        <f t="shared" si="30"/>
        <v>1.896802016921487E-2</v>
      </c>
      <c r="G250" s="17">
        <f t="shared" si="30"/>
        <v>3.2355038806003052E-2</v>
      </c>
      <c r="H250" s="17">
        <f t="shared" si="30"/>
        <v>5.3590194464009859E-2</v>
      </c>
    </row>
    <row r="251" spans="1:8" x14ac:dyDescent="0.2">
      <c r="A251">
        <v>944</v>
      </c>
      <c r="B251">
        <f t="shared" si="23"/>
        <v>0.94399999999999995</v>
      </c>
      <c r="C251">
        <f t="shared" si="25"/>
        <v>671</v>
      </c>
      <c r="D251" s="17">
        <f t="shared" si="30"/>
        <v>6.9500468175077157E-2</v>
      </c>
      <c r="E251" s="17">
        <f t="shared" si="30"/>
        <v>0.4716908019572556</v>
      </c>
      <c r="F251" s="17">
        <f t="shared" si="30"/>
        <v>1.8994592049782322E-2</v>
      </c>
      <c r="G251" s="17">
        <f t="shared" si="30"/>
        <v>3.2361102185572914E-2</v>
      </c>
      <c r="H251" s="17">
        <f t="shared" si="30"/>
        <v>5.3603357957216852E-2</v>
      </c>
    </row>
    <row r="252" spans="1:8" x14ac:dyDescent="0.2">
      <c r="A252">
        <v>945</v>
      </c>
      <c r="B252">
        <f t="shared" si="23"/>
        <v>0.94499999999999995</v>
      </c>
      <c r="C252">
        <f t="shared" si="25"/>
        <v>672</v>
      </c>
      <c r="D252" s="17">
        <f t="shared" si="30"/>
        <v>6.9542701758706235E-2</v>
      </c>
      <c r="E252" s="17">
        <f t="shared" si="30"/>
        <v>0.47378861911951792</v>
      </c>
      <c r="F252" s="17">
        <f t="shared" si="30"/>
        <v>1.9021095680359687E-2</v>
      </c>
      <c r="G252" s="17">
        <f t="shared" si="30"/>
        <v>3.2367160112826747E-2</v>
      </c>
      <c r="H252" s="17">
        <f t="shared" si="30"/>
        <v>5.3616498054977313E-2</v>
      </c>
    </row>
    <row r="253" spans="1:8" x14ac:dyDescent="0.2">
      <c r="A253">
        <v>946</v>
      </c>
      <c r="B253">
        <f t="shared" si="23"/>
        <v>0.94599999999999995</v>
      </c>
      <c r="C253">
        <f t="shared" si="25"/>
        <v>673</v>
      </c>
      <c r="D253" s="17">
        <f t="shared" si="30"/>
        <v>6.9584888646444687E-2</v>
      </c>
      <c r="E253" s="17">
        <f t="shared" si="30"/>
        <v>0.47589410148750266</v>
      </c>
      <c r="F253" s="17">
        <f t="shared" si="30"/>
        <v>1.9047531362999741E-2</v>
      </c>
      <c r="G253" s="17">
        <f t="shared" si="30"/>
        <v>3.2373212579136779E-2</v>
      </c>
      <c r="H253" s="17">
        <f t="shared" si="30"/>
        <v>5.3629614809344466E-2</v>
      </c>
    </row>
    <row r="254" spans="1:8" x14ac:dyDescent="0.2">
      <c r="A254">
        <v>947</v>
      </c>
      <c r="B254">
        <f t="shared" si="23"/>
        <v>0.94699999999999995</v>
      </c>
      <c r="C254">
        <f t="shared" si="25"/>
        <v>674</v>
      </c>
      <c r="D254" s="17">
        <f t="shared" si="30"/>
        <v>6.9627028851916767E-2</v>
      </c>
      <c r="E254" s="17">
        <f t="shared" si="30"/>
        <v>0.47800726378428715</v>
      </c>
      <c r="F254" s="17">
        <f t="shared" si="30"/>
        <v>1.9073899398073534E-2</v>
      </c>
      <c r="G254" s="17">
        <f t="shared" si="30"/>
        <v>3.2379259575964159E-2</v>
      </c>
      <c r="H254" s="17">
        <f t="shared" si="30"/>
        <v>5.3642708272348516E-2</v>
      </c>
    </row>
    <row r="255" spans="1:8" x14ac:dyDescent="0.2">
      <c r="A255">
        <v>948</v>
      </c>
      <c r="B255">
        <f t="shared" si="23"/>
        <v>0.94799999999999995</v>
      </c>
      <c r="C255">
        <f t="shared" si="25"/>
        <v>675</v>
      </c>
      <c r="D255" s="17">
        <f t="shared" si="30"/>
        <v>6.9669122388860333E-2</v>
      </c>
      <c r="E255" s="17">
        <f t="shared" si="30"/>
        <v>0.48012812073359618</v>
      </c>
      <c r="F255" s="17">
        <f t="shared" si="30"/>
        <v>1.9100200084281014E-2</v>
      </c>
      <c r="G255" s="17">
        <f t="shared" si="30"/>
        <v>3.2385301094858342E-2</v>
      </c>
      <c r="H255" s="17">
        <f t="shared" si="30"/>
        <v>5.3655778495996766E-2</v>
      </c>
    </row>
    <row r="256" spans="1:8" x14ac:dyDescent="0.2">
      <c r="A256">
        <v>949</v>
      </c>
      <c r="B256">
        <f t="shared" ref="B256:B319" si="31">A256/1000</f>
        <v>0.94899999999999995</v>
      </c>
      <c r="C256">
        <f t="shared" si="25"/>
        <v>676</v>
      </c>
      <c r="D256" s="17">
        <f t="shared" si="30"/>
        <v>6.971116927112618E-2</v>
      </c>
      <c r="E256" s="17">
        <f t="shared" si="30"/>
        <v>0.48225668705979324</v>
      </c>
      <c r="F256" s="17">
        <f t="shared" si="30"/>
        <v>1.9126433718661583E-2</v>
      </c>
      <c r="G256" s="17">
        <f t="shared" si="30"/>
        <v>3.2391337127456586E-2</v>
      </c>
      <c r="H256" s="17">
        <f t="shared" si="30"/>
        <v>5.3668825532273791E-2</v>
      </c>
    </row>
    <row r="257" spans="1:8" x14ac:dyDescent="0.2">
      <c r="A257">
        <v>950</v>
      </c>
      <c r="B257">
        <f t="shared" si="31"/>
        <v>0.95</v>
      </c>
      <c r="C257">
        <f t="shared" si="25"/>
        <v>677</v>
      </c>
      <c r="D257" s="17">
        <f t="shared" si="30"/>
        <v>6.9753169512677293E-2</v>
      </c>
      <c r="E257" s="17">
        <f t="shared" si="30"/>
        <v>0.48439297748788068</v>
      </c>
      <c r="F257" s="17">
        <f t="shared" si="30"/>
        <v>1.9152600596604577E-2</v>
      </c>
      <c r="G257" s="17">
        <f t="shared" si="30"/>
        <v>3.239736766548338E-2</v>
      </c>
      <c r="H257" s="17">
        <f t="shared" si="30"/>
        <v>5.368184943314161E-2</v>
      </c>
    </row>
    <row r="258" spans="1:8" x14ac:dyDescent="0.2">
      <c r="A258">
        <v>951</v>
      </c>
      <c r="B258">
        <f t="shared" si="31"/>
        <v>0.95099999999999996</v>
      </c>
      <c r="C258">
        <f t="shared" si="25"/>
        <v>678</v>
      </c>
      <c r="D258" s="17">
        <f t="shared" si="30"/>
        <v>6.9795123127588038E-2</v>
      </c>
      <c r="E258" s="17">
        <f t="shared" si="30"/>
        <v>0.4865370067434942</v>
      </c>
      <c r="F258" s="17">
        <f t="shared" si="30"/>
        <v>1.9178701011859676E-2</v>
      </c>
      <c r="G258" s="17">
        <f t="shared" si="30"/>
        <v>3.2403392700749857E-2</v>
      </c>
      <c r="H258" s="17">
        <f t="shared" si="30"/>
        <v>5.3694850250539758E-2</v>
      </c>
    </row>
    <row r="259" spans="1:8" x14ac:dyDescent="0.2">
      <c r="A259">
        <v>952</v>
      </c>
      <c r="B259">
        <f t="shared" si="31"/>
        <v>0.95199999999999996</v>
      </c>
      <c r="C259">
        <f t="shared" si="25"/>
        <v>679</v>
      </c>
      <c r="D259" s="17">
        <f t="shared" si="30"/>
        <v>6.9837030130043734E-2</v>
      </c>
      <c r="E259" s="17">
        <f t="shared" si="30"/>
        <v>0.48868878955289913</v>
      </c>
      <c r="F259" s="17">
        <f t="shared" si="30"/>
        <v>1.9204735256547246E-2</v>
      </c>
      <c r="G259" s="17">
        <f t="shared" si="30"/>
        <v>3.2409412225153311E-2</v>
      </c>
      <c r="H259" s="17">
        <f t="shared" si="30"/>
        <v>5.370782803638547E-2</v>
      </c>
    </row>
    <row r="260" spans="1:8" x14ac:dyDescent="0.2">
      <c r="A260">
        <v>953</v>
      </c>
      <c r="B260">
        <f t="shared" si="31"/>
        <v>0.95299999999999996</v>
      </c>
      <c r="C260">
        <f t="shared" si="25"/>
        <v>680</v>
      </c>
      <c r="D260" s="17">
        <f t="shared" ref="D260:H269" si="32">(D$73+D$74*$B260+D$75*($B260^2)+D$76*($B260^3)+D$77/($B260^2))/1000</f>
        <v>6.9878890534339516E-2</v>
      </c>
      <c r="E260" s="17">
        <f t="shared" si="32"/>
        <v>0.49084834064298499</v>
      </c>
      <c r="F260" s="17">
        <f t="shared" si="32"/>
        <v>1.923070362116858E-2</v>
      </c>
      <c r="G260" s="17">
        <f t="shared" si="32"/>
        <v>3.2415426230676586E-2</v>
      </c>
      <c r="H260" s="17">
        <f t="shared" si="32"/>
        <v>5.3720782842573839E-2</v>
      </c>
    </row>
    <row r="261" spans="1:8" x14ac:dyDescent="0.2">
      <c r="A261">
        <v>954</v>
      </c>
      <c r="B261">
        <f t="shared" si="31"/>
        <v>0.95399999999999996</v>
      </c>
      <c r="C261">
        <f t="shared" si="25"/>
        <v>681</v>
      </c>
      <c r="D261" s="17">
        <f t="shared" si="32"/>
        <v>6.9920704354880195E-2</v>
      </c>
      <c r="E261" s="17">
        <f t="shared" si="32"/>
        <v>0.49301567474126323</v>
      </c>
      <c r="F261" s="17">
        <f t="shared" si="32"/>
        <v>1.9256606394616051E-2</v>
      </c>
      <c r="G261" s="17">
        <f t="shared" si="32"/>
        <v>3.2421434709387624E-2</v>
      </c>
      <c r="H261" s="17">
        <f t="shared" si="32"/>
        <v>5.3733714720977897E-2</v>
      </c>
    </row>
    <row r="262" spans="1:8" x14ac:dyDescent="0.2">
      <c r="A262">
        <v>955</v>
      </c>
      <c r="B262">
        <f t="shared" si="31"/>
        <v>0.95499999999999996</v>
      </c>
      <c r="C262">
        <f t="shared" si="25"/>
        <v>682</v>
      </c>
      <c r="D262" s="17">
        <f t="shared" si="32"/>
        <v>6.996247160617905E-2</v>
      </c>
      <c r="E262" s="17">
        <f t="shared" si="32"/>
        <v>0.49519080657586412</v>
      </c>
      <c r="F262" s="17">
        <f t="shared" si="32"/>
        <v>1.9282443864183263E-2</v>
      </c>
      <c r="G262" s="17">
        <f t="shared" si="32"/>
        <v>3.2427437653438848E-2</v>
      </c>
      <c r="H262" s="17">
        <f t="shared" si="32"/>
        <v>5.3746623723448815E-2</v>
      </c>
    </row>
    <row r="263" spans="1:8" x14ac:dyDescent="0.2">
      <c r="A263">
        <v>956</v>
      </c>
      <c r="B263">
        <f t="shared" si="31"/>
        <v>0.95599999999999996</v>
      </c>
      <c r="C263">
        <f t="shared" si="25"/>
        <v>683</v>
      </c>
      <c r="D263" s="17">
        <f t="shared" si="32"/>
        <v>7.0004192302857496E-2</v>
      </c>
      <c r="E263" s="17">
        <f t="shared" si="32"/>
        <v>0.49737375087553082</v>
      </c>
      <c r="F263" s="17">
        <f t="shared" si="32"/>
        <v>1.9308216315575052E-2</v>
      </c>
      <c r="G263" s="17">
        <f t="shared" si="32"/>
        <v>3.243343505506667E-2</v>
      </c>
      <c r="H263" s="17">
        <f t="shared" si="32"/>
        <v>5.3759509901815987E-2</v>
      </c>
    </row>
    <row r="264" spans="1:8" x14ac:dyDescent="0.2">
      <c r="A264">
        <v>957</v>
      </c>
      <c r="B264">
        <f t="shared" si="31"/>
        <v>0.95699999999999996</v>
      </c>
      <c r="C264">
        <f t="shared" si="25"/>
        <v>684</v>
      </c>
      <c r="D264" s="17">
        <f t="shared" si="32"/>
        <v>7.0045866459644252E-2</v>
      </c>
      <c r="E264" s="17">
        <f t="shared" si="32"/>
        <v>0.49956452236961491</v>
      </c>
      <c r="F264" s="17">
        <f t="shared" si="32"/>
        <v>1.9333924032917425E-2</v>
      </c>
      <c r="G264" s="17">
        <f t="shared" si="32"/>
        <v>3.2439426906590962E-2</v>
      </c>
      <c r="H264" s="17">
        <f t="shared" si="32"/>
        <v>5.3772373307887242E-2</v>
      </c>
    </row>
    <row r="265" spans="1:8" x14ac:dyDescent="0.2">
      <c r="A265">
        <v>958</v>
      </c>
      <c r="B265">
        <f t="shared" si="31"/>
        <v>0.95799999999999996</v>
      </c>
      <c r="C265">
        <f t="shared" si="25"/>
        <v>685</v>
      </c>
      <c r="D265" s="17">
        <f t="shared" si="32"/>
        <v>7.0087494091374672E-2</v>
      </c>
      <c r="E265" s="17">
        <f t="shared" si="32"/>
        <v>0.50176313578807585</v>
      </c>
      <c r="F265" s="17">
        <f t="shared" si="32"/>
        <v>1.9359567298767491E-2</v>
      </c>
      <c r="G265" s="17">
        <f t="shared" si="32"/>
        <v>3.2445413200414538E-2</v>
      </c>
      <c r="H265" s="17">
        <f t="shared" si="32"/>
        <v>5.3785213993448877E-2</v>
      </c>
    </row>
    <row r="266" spans="1:8" x14ac:dyDescent="0.2">
      <c r="A266">
        <v>959</v>
      </c>
      <c r="B266">
        <f t="shared" si="31"/>
        <v>0.95899999999999996</v>
      </c>
      <c r="C266">
        <f t="shared" si="25"/>
        <v>686</v>
      </c>
      <c r="D266" s="17">
        <f t="shared" si="32"/>
        <v>7.012907521299018E-2</v>
      </c>
      <c r="E266" s="17">
        <f t="shared" si="32"/>
        <v>0.50396960586147521</v>
      </c>
      <c r="F266" s="17">
        <f t="shared" si="32"/>
        <v>1.9385146394123219E-2</v>
      </c>
      <c r="G266" s="17">
        <f t="shared" si="32"/>
        <v>3.2451393929022618E-2</v>
      </c>
      <c r="H266" s="17">
        <f t="shared" si="32"/>
        <v>5.3798032010265881E-2</v>
      </c>
    </row>
    <row r="267" spans="1:8" x14ac:dyDescent="0.2">
      <c r="A267">
        <v>960</v>
      </c>
      <c r="B267">
        <f t="shared" si="31"/>
        <v>0.96</v>
      </c>
      <c r="C267">
        <f t="shared" si="25"/>
        <v>687</v>
      </c>
      <c r="D267" s="17">
        <f t="shared" si="32"/>
        <v>7.0170609839537448E-2</v>
      </c>
      <c r="E267" s="17">
        <f t="shared" si="32"/>
        <v>0.50618394732097194</v>
      </c>
      <c r="F267" s="17">
        <f t="shared" si="32"/>
        <v>1.9410661598433222E-2</v>
      </c>
      <c r="G267" s="17">
        <f t="shared" si="32"/>
        <v>3.2457369084982333E-2</v>
      </c>
      <c r="H267" s="17">
        <f t="shared" si="32"/>
        <v>5.3810827410082002E-2</v>
      </c>
    </row>
    <row r="268" spans="1:8" x14ac:dyDescent="0.2">
      <c r="A268">
        <v>961</v>
      </c>
      <c r="B268">
        <f t="shared" si="31"/>
        <v>0.96099999999999997</v>
      </c>
      <c r="C268">
        <f t="shared" si="25"/>
        <v>688</v>
      </c>
      <c r="D268" s="17">
        <f t="shared" si="32"/>
        <v>7.0212097986167926E-2</v>
      </c>
      <c r="E268" s="17">
        <f t="shared" si="32"/>
        <v>0.50840617489832107</v>
      </c>
      <c r="F268" s="17">
        <f t="shared" si="32"/>
        <v>1.9436113189606388E-2</v>
      </c>
      <c r="G268" s="17">
        <f t="shared" si="32"/>
        <v>3.2463338660942198E-2</v>
      </c>
      <c r="H268" s="17">
        <f t="shared" si="32"/>
        <v>5.3823600244619935E-2</v>
      </c>
    </row>
    <row r="269" spans="1:8" x14ac:dyDescent="0.2">
      <c r="A269">
        <v>962</v>
      </c>
      <c r="B269">
        <f t="shared" si="31"/>
        <v>0.96199999999999997</v>
      </c>
      <c r="C269">
        <f t="shared" si="25"/>
        <v>689</v>
      </c>
      <c r="D269" s="17">
        <f t="shared" si="32"/>
        <v>7.0253539668137063E-2</v>
      </c>
      <c r="E269" s="17">
        <f t="shared" si="32"/>
        <v>0.51063630332586807</v>
      </c>
      <c r="F269" s="17">
        <f t="shared" si="32"/>
        <v>1.9461501444021524E-2</v>
      </c>
      <c r="G269" s="17">
        <f t="shared" si="32"/>
        <v>3.2469302649631653E-2</v>
      </c>
      <c r="H269" s="17">
        <f t="shared" si="32"/>
        <v>5.3836350565581406E-2</v>
      </c>
    </row>
    <row r="270" spans="1:8" x14ac:dyDescent="0.2">
      <c r="A270">
        <v>963</v>
      </c>
      <c r="B270">
        <f t="shared" si="31"/>
        <v>0.96299999999999997</v>
      </c>
      <c r="C270">
        <f t="shared" si="25"/>
        <v>690</v>
      </c>
      <c r="D270" s="17">
        <f t="shared" ref="D270:H279" si="33">(D$73+D$74*$B270+D$75*($B270^2)+D$76*($B270^3)+D$77/($B270^2))/1000</f>
        <v>7.0294934900803602E-2</v>
      </c>
      <c r="E270" s="17">
        <f t="shared" si="33"/>
        <v>0.51287434733654491</v>
      </c>
      <c r="F270" s="17">
        <f t="shared" si="33"/>
        <v>1.9486826636536815E-2</v>
      </c>
      <c r="G270" s="17">
        <f t="shared" si="33"/>
        <v>3.2475261043860434E-2</v>
      </c>
      <c r="H270" s="17">
        <f t="shared" si="33"/>
        <v>5.3849078424647361E-2</v>
      </c>
    </row>
    <row r="271" spans="1:8" x14ac:dyDescent="0.2">
      <c r="A271">
        <v>964</v>
      </c>
      <c r="B271">
        <f t="shared" si="31"/>
        <v>0.96399999999999997</v>
      </c>
      <c r="C271">
        <f t="shared" si="25"/>
        <v>691</v>
      </c>
      <c r="D271" s="17">
        <f t="shared" si="33"/>
        <v>7.0336283699629146E-2</v>
      </c>
      <c r="E271" s="17">
        <f t="shared" si="33"/>
        <v>0.51512032166386934</v>
      </c>
      <c r="F271" s="17">
        <f t="shared" si="33"/>
        <v>1.951208904049935E-2</v>
      </c>
      <c r="G271" s="17">
        <f t="shared" si="33"/>
        <v>3.2481213836518238E-2</v>
      </c>
      <c r="H271" s="17">
        <f t="shared" si="33"/>
        <v>5.3861783873478009E-2</v>
      </c>
    </row>
    <row r="272" spans="1:8" x14ac:dyDescent="0.2">
      <c r="A272">
        <v>965</v>
      </c>
      <c r="B272">
        <f t="shared" si="31"/>
        <v>0.96499999999999997</v>
      </c>
      <c r="C272">
        <f t="shared" si="25"/>
        <v>692</v>
      </c>
      <c r="D272" s="17">
        <f t="shared" si="33"/>
        <v>7.0377586080177301E-2</v>
      </c>
      <c r="E272" s="17">
        <f t="shared" si="33"/>
        <v>0.51737424104193563</v>
      </c>
      <c r="F272" s="17">
        <f t="shared" si="33"/>
        <v>1.9537288927754509E-2</v>
      </c>
      <c r="G272" s="17">
        <f t="shared" si="33"/>
        <v>3.2487161020574098E-2</v>
      </c>
      <c r="H272" s="17">
        <f t="shared" si="33"/>
        <v>5.3874466963713029E-2</v>
      </c>
    </row>
    <row r="273" spans="1:8" x14ac:dyDescent="0.2">
      <c r="A273">
        <v>966</v>
      </c>
      <c r="B273">
        <f t="shared" si="31"/>
        <v>0.96599999999999997</v>
      </c>
      <c r="C273">
        <f t="shared" si="25"/>
        <v>693</v>
      </c>
      <c r="D273" s="17">
        <f t="shared" si="33"/>
        <v>7.0418842058113232E-2</v>
      </c>
      <c r="E273" s="17">
        <f t="shared" si="33"/>
        <v>0.51963612020541983</v>
      </c>
      <c r="F273" s="17">
        <f t="shared" si="33"/>
        <v>1.9562426568655221E-2</v>
      </c>
      <c r="G273" s="17">
        <f t="shared" si="33"/>
        <v>3.2493102589075958E-2</v>
      </c>
      <c r="H273" s="17">
        <f t="shared" si="33"/>
        <v>5.3887127746971672E-2</v>
      </c>
    </row>
    <row r="274" spans="1:8" x14ac:dyDescent="0.2">
      <c r="A274">
        <v>967</v>
      </c>
      <c r="B274">
        <f t="shared" si="31"/>
        <v>0.96699999999999997</v>
      </c>
      <c r="C274">
        <f t="shared" ref="C274:C337" si="34">A274-273</f>
        <v>694</v>
      </c>
      <c r="D274" s="17">
        <f t="shared" si="33"/>
        <v>7.0460051649202812E-2</v>
      </c>
      <c r="E274" s="17">
        <f t="shared" si="33"/>
        <v>0.52190597388956583</v>
      </c>
      <c r="F274" s="17">
        <f t="shared" si="33"/>
        <v>1.9587502232071279E-2</v>
      </c>
      <c r="G274" s="17">
        <f t="shared" si="33"/>
        <v>3.2499038535150175E-2</v>
      </c>
      <c r="H274" s="17">
        <f t="shared" si="33"/>
        <v>5.3899766274852871E-2</v>
      </c>
    </row>
    <row r="275" spans="1:8" x14ac:dyDescent="0.2">
      <c r="A275">
        <v>968</v>
      </c>
      <c r="B275">
        <f t="shared" si="31"/>
        <v>0.96799999999999997</v>
      </c>
      <c r="C275">
        <f t="shared" si="34"/>
        <v>695</v>
      </c>
      <c r="D275" s="17">
        <f t="shared" si="33"/>
        <v>7.0501214869312254E-2</v>
      </c>
      <c r="E275" s="17">
        <f t="shared" si="33"/>
        <v>0.52418381683018889</v>
      </c>
      <c r="F275" s="17">
        <f t="shared" si="33"/>
        <v>1.9612516185398526E-2</v>
      </c>
      <c r="G275" s="17">
        <f t="shared" si="33"/>
        <v>3.2504968852000986E-2</v>
      </c>
      <c r="H275" s="17">
        <f t="shared" si="33"/>
        <v>5.3912382598935389E-2</v>
      </c>
    </row>
    <row r="276" spans="1:8" x14ac:dyDescent="0.2">
      <c r="A276">
        <v>969</v>
      </c>
      <c r="B276">
        <f t="shared" si="31"/>
        <v>0.96899999999999997</v>
      </c>
      <c r="C276">
        <f t="shared" si="34"/>
        <v>696</v>
      </c>
      <c r="D276" s="17">
        <f t="shared" si="33"/>
        <v>7.0542331734407285E-2</v>
      </c>
      <c r="E276" s="17">
        <f t="shared" si="33"/>
        <v>0.52646966376367177</v>
      </c>
      <c r="F276" s="17">
        <f t="shared" si="33"/>
        <v>1.9637468694567936E-2</v>
      </c>
      <c r="G276" s="17">
        <f t="shared" si="33"/>
        <v>3.2510893532910104E-2</v>
      </c>
      <c r="H276" s="17">
        <f t="shared" si="33"/>
        <v>5.3924976770777941E-2</v>
      </c>
    </row>
    <row r="277" spans="1:8" x14ac:dyDescent="0.2">
      <c r="A277">
        <v>970</v>
      </c>
      <c r="B277">
        <f t="shared" si="31"/>
        <v>0.97</v>
      </c>
      <c r="C277">
        <f t="shared" si="34"/>
        <v>697</v>
      </c>
      <c r="D277" s="17">
        <f t="shared" si="33"/>
        <v>7.0583402260552611E-2</v>
      </c>
      <c r="E277" s="17">
        <f t="shared" si="33"/>
        <v>0.52876352942695692</v>
      </c>
      <c r="F277" s="17">
        <f t="shared" si="33"/>
        <v>1.9662360024054734E-2</v>
      </c>
      <c r="G277" s="17">
        <f t="shared" si="33"/>
        <v>3.2516812571236155E-2</v>
      </c>
      <c r="H277" s="17">
        <f t="shared" si="33"/>
        <v>5.3937548841919272E-2</v>
      </c>
    </row>
    <row r="278" spans="1:8" x14ac:dyDescent="0.2">
      <c r="A278">
        <v>971</v>
      </c>
      <c r="B278">
        <f t="shared" si="31"/>
        <v>0.97099999999999997</v>
      </c>
      <c r="C278">
        <f t="shared" si="34"/>
        <v>698</v>
      </c>
      <c r="D278" s="17">
        <f t="shared" si="33"/>
        <v>7.062442646391133E-2</v>
      </c>
      <c r="E278" s="17">
        <f t="shared" si="33"/>
        <v>0.53106542855754602</v>
      </c>
      <c r="F278" s="17">
        <f t="shared" si="33"/>
        <v>1.9687190436887315E-2</v>
      </c>
      <c r="G278" s="17">
        <f t="shared" si="33"/>
        <v>3.2522725960414278E-2</v>
      </c>
      <c r="H278" s="17">
        <f t="shared" si="33"/>
        <v>5.3950098863878394E-2</v>
      </c>
    </row>
    <row r="279" spans="1:8" x14ac:dyDescent="0.2">
      <c r="A279">
        <v>972</v>
      </c>
      <c r="B279">
        <f t="shared" si="31"/>
        <v>0.97199999999999998</v>
      </c>
      <c r="C279">
        <f t="shared" si="34"/>
        <v>699</v>
      </c>
      <c r="D279" s="17">
        <f t="shared" si="33"/>
        <v>7.0665404360744297E-2</v>
      </c>
      <c r="E279" s="17">
        <f t="shared" si="33"/>
        <v>0.53337537589349771</v>
      </c>
      <c r="F279" s="17">
        <f t="shared" si="33"/>
        <v>1.9711960194656201E-2</v>
      </c>
      <c r="G279" s="17">
        <f t="shared" si="33"/>
        <v>3.2528633693955609E-2</v>
      </c>
      <c r="H279" s="17">
        <f t="shared" si="33"/>
        <v>5.396262688815455E-2</v>
      </c>
    </row>
    <row r="280" spans="1:8" x14ac:dyDescent="0.2">
      <c r="A280">
        <v>973</v>
      </c>
      <c r="B280">
        <f t="shared" si="31"/>
        <v>0.97299999999999998</v>
      </c>
      <c r="C280">
        <f t="shared" si="34"/>
        <v>700</v>
      </c>
      <c r="D280" s="17">
        <f t="shared" ref="D280:H289" si="35">(D$73+D$74*$B280+D$75*($B280^2)+D$76*($B280^3)+D$77/($B280^2))/1000</f>
        <v>7.0706335967409481E-2</v>
      </c>
      <c r="E280" s="17">
        <f t="shared" si="35"/>
        <v>0.53569338617342144</v>
      </c>
      <c r="F280" s="17">
        <f t="shared" si="35"/>
        <v>1.9736669557522943E-2</v>
      </c>
      <c r="G280" s="17">
        <f t="shared" si="35"/>
        <v>3.2534535765446813E-2</v>
      </c>
      <c r="H280" s="17">
        <f t="shared" si="35"/>
        <v>5.3975132966227503E-2</v>
      </c>
    </row>
    <row r="281" spans="1:8" x14ac:dyDescent="0.2">
      <c r="A281">
        <v>974</v>
      </c>
      <c r="B281">
        <f t="shared" si="31"/>
        <v>0.97399999999999998</v>
      </c>
      <c r="C281">
        <f t="shared" si="34"/>
        <v>701</v>
      </c>
      <c r="D281" s="17">
        <f t="shared" si="35"/>
        <v>7.0747221300361429E-2</v>
      </c>
      <c r="E281" s="17">
        <f t="shared" si="35"/>
        <v>0.53801947413647622</v>
      </c>
      <c r="F281" s="17">
        <f t="shared" si="35"/>
        <v>1.9761318784228869E-2</v>
      </c>
      <c r="G281" s="17">
        <f t="shared" si="35"/>
        <v>3.2540432168549654E-2</v>
      </c>
      <c r="H281" s="17">
        <f t="shared" si="35"/>
        <v>5.3987617149557507E-2</v>
      </c>
    </row>
    <row r="282" spans="1:8" x14ac:dyDescent="0.2">
      <c r="A282">
        <v>975</v>
      </c>
      <c r="B282">
        <f t="shared" si="31"/>
        <v>0.97499999999999998</v>
      </c>
      <c r="C282">
        <f t="shared" si="34"/>
        <v>702</v>
      </c>
      <c r="D282" s="17">
        <f t="shared" si="35"/>
        <v>7.078806037615068E-2</v>
      </c>
      <c r="E282" s="17">
        <f t="shared" si="35"/>
        <v>0.54035365452236417</v>
      </c>
      <c r="F282" s="17">
        <f t="shared" si="35"/>
        <v>1.9785908132103819E-2</v>
      </c>
      <c r="G282" s="17">
        <f t="shared" si="35"/>
        <v>3.254632289700049E-2</v>
      </c>
      <c r="H282" s="17">
        <f t="shared" si="35"/>
        <v>5.4000079489585524E-2</v>
      </c>
    </row>
    <row r="283" spans="1:8" x14ac:dyDescent="0.2">
      <c r="A283">
        <v>976</v>
      </c>
      <c r="B283">
        <f t="shared" si="31"/>
        <v>0.97599999999999998</v>
      </c>
      <c r="C283">
        <f t="shared" si="34"/>
        <v>703</v>
      </c>
      <c r="D283" s="17">
        <f t="shared" si="35"/>
        <v>7.0828853211423098E-2</v>
      </c>
      <c r="E283" s="17">
        <f t="shared" si="35"/>
        <v>0.54269594207133187</v>
      </c>
      <c r="F283" s="17">
        <f t="shared" si="35"/>
        <v>1.9810437857074842E-2</v>
      </c>
      <c r="G283" s="17">
        <f t="shared" si="35"/>
        <v>3.2552207944609828E-2</v>
      </c>
      <c r="H283" s="17">
        <f t="shared" si="35"/>
        <v>5.4012520037733311E-2</v>
      </c>
    </row>
    <row r="284" spans="1:8" x14ac:dyDescent="0.2">
      <c r="A284">
        <v>977</v>
      </c>
      <c r="B284">
        <f t="shared" si="31"/>
        <v>0.97699999999999998</v>
      </c>
      <c r="C284">
        <f t="shared" si="34"/>
        <v>704</v>
      </c>
      <c r="D284" s="17">
        <f t="shared" si="35"/>
        <v>7.0869599822919349E-2</v>
      </c>
      <c r="E284" s="17">
        <f t="shared" si="35"/>
        <v>0.54504635152416248</v>
      </c>
      <c r="F284" s="17">
        <f t="shared" si="35"/>
        <v>1.9834908213674805E-2</v>
      </c>
      <c r="G284" s="17">
        <f t="shared" si="35"/>
        <v>3.2558087305261899E-2</v>
      </c>
      <c r="H284" s="17">
        <f t="shared" si="35"/>
        <v>5.4024938845403513E-2</v>
      </c>
    </row>
    <row r="285" spans="1:8" x14ac:dyDescent="0.2">
      <c r="A285">
        <v>978</v>
      </c>
      <c r="B285">
        <f t="shared" si="31"/>
        <v>0.97799999999999998</v>
      </c>
      <c r="C285">
        <f t="shared" si="34"/>
        <v>705</v>
      </c>
      <c r="D285" s="17">
        <f t="shared" si="35"/>
        <v>7.091030022747434E-2</v>
      </c>
      <c r="E285" s="17">
        <f t="shared" si="35"/>
        <v>0.54740489762217592</v>
      </c>
      <c r="F285" s="17">
        <f t="shared" si="35"/>
        <v>1.9859319455050914E-2</v>
      </c>
      <c r="G285" s="17">
        <f t="shared" si="35"/>
        <v>3.2563960972914162E-2</v>
      </c>
      <c r="H285" s="17">
        <f t="shared" si="35"/>
        <v>5.4037335963979839E-2</v>
      </c>
    </row>
    <row r="286" spans="1:8" x14ac:dyDescent="0.2">
      <c r="A286">
        <v>979</v>
      </c>
      <c r="B286">
        <f t="shared" si="31"/>
        <v>0.97899999999999998</v>
      </c>
      <c r="C286">
        <f t="shared" si="34"/>
        <v>706</v>
      </c>
      <c r="D286" s="17">
        <f t="shared" si="35"/>
        <v>7.0950954442016559E-2</v>
      </c>
      <c r="E286" s="17">
        <f t="shared" si="35"/>
        <v>0.54977159510722229</v>
      </c>
      <c r="F286" s="17">
        <f t="shared" si="35"/>
        <v>1.9883671832973255E-2</v>
      </c>
      <c r="G286" s="17">
        <f t="shared" si="35"/>
        <v>3.2569828941596865E-2</v>
      </c>
      <c r="H286" s="17">
        <f t="shared" si="35"/>
        <v>5.4049711444827148E-2</v>
      </c>
    </row>
    <row r="287" spans="1:8" x14ac:dyDescent="0.2">
      <c r="A287">
        <v>980</v>
      </c>
      <c r="B287">
        <f t="shared" si="31"/>
        <v>0.98</v>
      </c>
      <c r="C287">
        <f t="shared" si="34"/>
        <v>707</v>
      </c>
      <c r="D287" s="17">
        <f t="shared" si="35"/>
        <v>7.0991562483567555E-2</v>
      </c>
      <c r="E287" s="17">
        <f t="shared" si="35"/>
        <v>0.55214645872168244</v>
      </c>
      <c r="F287" s="17">
        <f t="shared" si="35"/>
        <v>1.9907965597843143E-2</v>
      </c>
      <c r="G287" s="17">
        <f t="shared" si="35"/>
        <v>3.2575691205412621E-2</v>
      </c>
      <c r="H287" s="17">
        <f t="shared" si="35"/>
        <v>5.4062065339291518E-2</v>
      </c>
    </row>
    <row r="288" spans="1:8" x14ac:dyDescent="0.2">
      <c r="A288">
        <v>981</v>
      </c>
      <c r="B288">
        <f t="shared" si="31"/>
        <v>0.98099999999999998</v>
      </c>
      <c r="C288">
        <f t="shared" si="34"/>
        <v>708</v>
      </c>
      <c r="D288" s="17">
        <f t="shared" si="35"/>
        <v>7.103212436924139E-2</v>
      </c>
      <c r="E288" s="17">
        <f t="shared" si="35"/>
        <v>0.55452950320846151</v>
      </c>
      <c r="F288" s="17">
        <f t="shared" si="35"/>
        <v>1.9932200998701573E-2</v>
      </c>
      <c r="G288" s="17">
        <f t="shared" si="35"/>
        <v>3.2581547758535993E-2</v>
      </c>
      <c r="H288" s="17">
        <f t="shared" si="35"/>
        <v>5.4074397698700427E-2</v>
      </c>
    </row>
    <row r="289" spans="1:8" x14ac:dyDescent="0.2">
      <c r="A289">
        <v>982</v>
      </c>
      <c r="B289">
        <f t="shared" si="31"/>
        <v>0.98199999999999998</v>
      </c>
      <c r="C289">
        <f t="shared" si="34"/>
        <v>709</v>
      </c>
      <c r="D289" s="17">
        <f t="shared" si="35"/>
        <v>7.1072640116244021E-2</v>
      </c>
      <c r="E289" s="17">
        <f t="shared" si="35"/>
        <v>0.55692074331098729</v>
      </c>
      <c r="F289" s="17">
        <f t="shared" si="35"/>
        <v>1.9956378283237482E-2</v>
      </c>
      <c r="G289" s="17">
        <f t="shared" si="35"/>
        <v>3.2587398595212931E-2</v>
      </c>
      <c r="H289" s="17">
        <f t="shared" si="35"/>
        <v>5.4086708574362874E-2</v>
      </c>
    </row>
    <row r="290" spans="1:8" x14ac:dyDescent="0.2">
      <c r="A290">
        <v>983</v>
      </c>
      <c r="B290">
        <f t="shared" si="31"/>
        <v>0.98299999999999998</v>
      </c>
      <c r="C290">
        <f t="shared" si="34"/>
        <v>710</v>
      </c>
      <c r="D290" s="17">
        <f t="shared" ref="D290:H299" si="36">(D$73+D$74*$B290+D$75*($B290^2)+D$76*($B290^3)+D$77/($B290^2))/1000</f>
        <v>7.1113109741872793E-2</v>
      </c>
      <c r="E290" s="17">
        <f t="shared" si="36"/>
        <v>0.55932019377320552</v>
      </c>
      <c r="F290" s="17">
        <f t="shared" si="36"/>
        <v>1.9980497697795967E-2</v>
      </c>
      <c r="G290" s="17">
        <f t="shared" si="36"/>
        <v>3.2593243709760494E-2</v>
      </c>
      <c r="H290" s="17">
        <f t="shared" si="36"/>
        <v>5.40989980175694E-2</v>
      </c>
    </row>
    <row r="291" spans="1:8" x14ac:dyDescent="0.2">
      <c r="A291">
        <v>984</v>
      </c>
      <c r="B291">
        <f t="shared" si="31"/>
        <v>0.98399999999999999</v>
      </c>
      <c r="C291">
        <f t="shared" si="34"/>
        <v>711</v>
      </c>
      <c r="D291" s="17">
        <f t="shared" si="36"/>
        <v>7.1153533263515839E-2</v>
      </c>
      <c r="E291" s="17">
        <f t="shared" si="36"/>
        <v>0.56172786933957897</v>
      </c>
      <c r="F291" s="17">
        <f t="shared" si="36"/>
        <v>2.0004559487386577E-2</v>
      </c>
      <c r="G291" s="17">
        <f t="shared" si="36"/>
        <v>3.2599083096566304E-2</v>
      </c>
      <c r="H291" s="17">
        <f t="shared" si="36"/>
        <v>5.4111266079592324E-2</v>
      </c>
    </row>
    <row r="292" spans="1:8" x14ac:dyDescent="0.2">
      <c r="A292">
        <v>985</v>
      </c>
      <c r="B292">
        <f t="shared" si="31"/>
        <v>0.98499999999999999</v>
      </c>
      <c r="C292">
        <f t="shared" si="34"/>
        <v>712</v>
      </c>
      <c r="D292" s="17">
        <f t="shared" si="36"/>
        <v>7.1193910698651525E-2</v>
      </c>
      <c r="E292" s="17">
        <f t="shared" si="36"/>
        <v>0.56414378475508431</v>
      </c>
      <c r="F292" s="17">
        <f t="shared" si="36"/>
        <v>2.0028563895691312E-2</v>
      </c>
      <c r="G292" s="17">
        <f t="shared" si="36"/>
        <v>3.2604916750088177E-2</v>
      </c>
      <c r="H292" s="17">
        <f t="shared" si="36"/>
        <v>5.4123512811685745E-2</v>
      </c>
    </row>
    <row r="293" spans="1:8" x14ac:dyDescent="0.2">
      <c r="A293">
        <v>986</v>
      </c>
      <c r="B293">
        <f t="shared" si="31"/>
        <v>0.98599999999999999</v>
      </c>
      <c r="C293">
        <f t="shared" si="34"/>
        <v>713</v>
      </c>
      <c r="D293" s="17">
        <f t="shared" si="36"/>
        <v>7.1234242064847977E-2</v>
      </c>
      <c r="E293" s="17">
        <f t="shared" si="36"/>
        <v>0.56656795476520461</v>
      </c>
      <c r="F293" s="17">
        <f t="shared" si="36"/>
        <v>2.0052511165072819E-2</v>
      </c>
      <c r="G293" s="17">
        <f t="shared" si="36"/>
        <v>3.2610744664853676E-2</v>
      </c>
      <c r="H293" s="17">
        <f t="shared" si="36"/>
        <v>5.413573826508572E-2</v>
      </c>
    </row>
    <row r="294" spans="1:8" x14ac:dyDescent="0.2">
      <c r="A294">
        <v>987</v>
      </c>
      <c r="B294">
        <f t="shared" si="31"/>
        <v>0.98699999999999999</v>
      </c>
      <c r="C294">
        <f t="shared" si="34"/>
        <v>714</v>
      </c>
      <c r="D294" s="17">
        <f t="shared" si="36"/>
        <v>7.127452737976242E-2</v>
      </c>
      <c r="E294" s="17">
        <f t="shared" si="36"/>
        <v>0.56900039411593317</v>
      </c>
      <c r="F294" s="17">
        <f t="shared" si="36"/>
        <v>2.0076401536582317E-2</v>
      </c>
      <c r="G294" s="17">
        <f t="shared" si="36"/>
        <v>3.2616566835459666E-2</v>
      </c>
      <c r="H294" s="17">
        <f t="shared" si="36"/>
        <v>5.4147942491010355E-2</v>
      </c>
    </row>
    <row r="295" spans="1:8" x14ac:dyDescent="0.2">
      <c r="A295">
        <v>988</v>
      </c>
      <c r="B295">
        <f t="shared" si="31"/>
        <v>0.98799999999999999</v>
      </c>
      <c r="C295">
        <f t="shared" si="34"/>
        <v>715</v>
      </c>
      <c r="D295" s="17">
        <f t="shared" si="36"/>
        <v>7.1314766661140713E-2</v>
      </c>
      <c r="E295" s="17">
        <f t="shared" si="36"/>
        <v>0.57144111755376281</v>
      </c>
      <c r="F295" s="17">
        <f t="shared" si="36"/>
        <v>2.0100235249967607E-2</v>
      </c>
      <c r="G295" s="17">
        <f t="shared" si="36"/>
        <v>3.2622383256571914E-2</v>
      </c>
      <c r="H295" s="17">
        <f t="shared" si="36"/>
        <v>5.4160125540659881E-2</v>
      </c>
    </row>
    <row r="296" spans="1:8" x14ac:dyDescent="0.2">
      <c r="A296">
        <v>989</v>
      </c>
      <c r="B296">
        <f t="shared" si="31"/>
        <v>0.98899999999999999</v>
      </c>
      <c r="C296">
        <f t="shared" si="34"/>
        <v>716</v>
      </c>
      <c r="D296" s="17">
        <f t="shared" si="36"/>
        <v>7.1354959926816799E-2</v>
      </c>
      <c r="E296" s="17">
        <f t="shared" si="36"/>
        <v>0.5738901398256917</v>
      </c>
      <c r="F296" s="17">
        <f t="shared" si="36"/>
        <v>2.0124012543680968E-2</v>
      </c>
      <c r="G296" s="17">
        <f t="shared" si="36"/>
        <v>3.2628193922924702E-2</v>
      </c>
      <c r="H296" s="17">
        <f t="shared" si="36"/>
        <v>5.4172287465216844E-2</v>
      </c>
    </row>
    <row r="297" spans="1:8" x14ac:dyDescent="0.2">
      <c r="A297">
        <v>990</v>
      </c>
      <c r="B297">
        <f t="shared" si="31"/>
        <v>0.99</v>
      </c>
      <c r="C297">
        <f t="shared" si="34"/>
        <v>717</v>
      </c>
      <c r="D297" s="17">
        <f t="shared" si="36"/>
        <v>7.1395107194712204E-2</v>
      </c>
      <c r="E297" s="17">
        <f t="shared" si="36"/>
        <v>0.57634747567921085</v>
      </c>
      <c r="F297" s="17">
        <f t="shared" si="36"/>
        <v>2.0147733654887003E-2</v>
      </c>
      <c r="G297" s="17">
        <f t="shared" si="36"/>
        <v>3.2633998829320339E-2</v>
      </c>
      <c r="H297" s="17">
        <f t="shared" si="36"/>
        <v>5.4184428315846141E-2</v>
      </c>
    </row>
    <row r="298" spans="1:8" x14ac:dyDescent="0.2">
      <c r="A298">
        <v>991</v>
      </c>
      <c r="B298">
        <f t="shared" si="31"/>
        <v>0.99099999999999999</v>
      </c>
      <c r="C298">
        <f t="shared" si="34"/>
        <v>718</v>
      </c>
      <c r="D298" s="17">
        <f t="shared" si="36"/>
        <v>7.1435208482835383E-2</v>
      </c>
      <c r="E298" s="17">
        <f t="shared" si="36"/>
        <v>0.57881313986230776</v>
      </c>
      <c r="F298" s="17">
        <f t="shared" si="36"/>
        <v>2.0171398819470398E-2</v>
      </c>
      <c r="G298" s="17">
        <f t="shared" si="36"/>
        <v>3.2639797970628839E-2</v>
      </c>
      <c r="H298" s="17">
        <f t="shared" si="36"/>
        <v>5.4196548143695129E-2</v>
      </c>
    </row>
    <row r="299" spans="1:8" x14ac:dyDescent="0.2">
      <c r="A299">
        <v>992</v>
      </c>
      <c r="B299">
        <f t="shared" si="31"/>
        <v>0.99199999999999999</v>
      </c>
      <c r="C299">
        <f t="shared" si="34"/>
        <v>719</v>
      </c>
      <c r="D299" s="17">
        <f t="shared" si="36"/>
        <v>7.1475263809281347E-2</v>
      </c>
      <c r="E299" s="17">
        <f t="shared" si="36"/>
        <v>0.58128714712346197</v>
      </c>
      <c r="F299" s="17">
        <f t="shared" si="36"/>
        <v>2.0195008272043725E-2</v>
      </c>
      <c r="G299" s="17">
        <f t="shared" si="36"/>
        <v>3.2645591341787412E-2</v>
      </c>
      <c r="H299" s="17">
        <f t="shared" si="36"/>
        <v>5.4208646999893764E-2</v>
      </c>
    </row>
    <row r="300" spans="1:8" x14ac:dyDescent="0.2">
      <c r="A300">
        <v>993</v>
      </c>
      <c r="B300">
        <f t="shared" si="31"/>
        <v>0.99299999999999999</v>
      </c>
      <c r="C300">
        <f t="shared" si="34"/>
        <v>720</v>
      </c>
      <c r="D300" s="17">
        <f t="shared" ref="D300:H309" si="37">(D$73+D$74*$B300+D$75*($B300^2)+D$76*($B300^3)+D$77/($B300^2))/1000</f>
        <v>7.1515273192231069E-2</v>
      </c>
      <c r="E300" s="17">
        <f t="shared" si="37"/>
        <v>0.58376951221163975</v>
      </c>
      <c r="F300" s="17">
        <f t="shared" si="37"/>
        <v>2.0218562245955061E-2</v>
      </c>
      <c r="G300" s="17">
        <f t="shared" si="37"/>
        <v>3.2651378937800152E-2</v>
      </c>
      <c r="H300" s="17">
        <f t="shared" si="37"/>
        <v>5.4220724935554687E-2</v>
      </c>
    </row>
    <row r="301" spans="1:8" x14ac:dyDescent="0.2">
      <c r="A301">
        <v>994</v>
      </c>
      <c r="B301">
        <f t="shared" si="31"/>
        <v>0.99399999999999999</v>
      </c>
      <c r="C301">
        <f t="shared" si="34"/>
        <v>721</v>
      </c>
      <c r="D301" s="17">
        <f t="shared" si="37"/>
        <v>7.1555236649950948E-2</v>
      </c>
      <c r="E301" s="17">
        <f t="shared" si="37"/>
        <v>0.58626024987629333</v>
      </c>
      <c r="F301" s="17">
        <f t="shared" si="37"/>
        <v>2.0242060973295659E-2</v>
      </c>
      <c r="G301" s="17">
        <f t="shared" si="37"/>
        <v>3.2657160753737556E-2</v>
      </c>
      <c r="H301" s="17">
        <f t="shared" si="37"/>
        <v>5.4232782001773346E-2</v>
      </c>
    </row>
    <row r="302" spans="1:8" x14ac:dyDescent="0.2">
      <c r="A302">
        <v>995</v>
      </c>
      <c r="B302">
        <f t="shared" si="31"/>
        <v>0.995</v>
      </c>
      <c r="C302">
        <f t="shared" si="34"/>
        <v>722</v>
      </c>
      <c r="D302" s="17">
        <f t="shared" si="37"/>
        <v>7.1595154200792308E-2</v>
      </c>
      <c r="E302" s="17">
        <f t="shared" si="37"/>
        <v>0.58875937486735863</v>
      </c>
      <c r="F302" s="17">
        <f t="shared" si="37"/>
        <v>2.026550468490752E-2</v>
      </c>
      <c r="G302" s="17">
        <f t="shared" si="37"/>
        <v>3.2662936784736203E-2</v>
      </c>
      <c r="H302" s="17">
        <f t="shared" si="37"/>
        <v>5.4244818249628055E-2</v>
      </c>
    </row>
    <row r="303" spans="1:8" x14ac:dyDescent="0.2">
      <c r="A303">
        <v>996</v>
      </c>
      <c r="B303">
        <f t="shared" si="31"/>
        <v>0.996</v>
      </c>
      <c r="C303">
        <f t="shared" si="34"/>
        <v>723</v>
      </c>
      <c r="D303" s="17">
        <f t="shared" si="37"/>
        <v>7.1635025863190954E-2</v>
      </c>
      <c r="E303" s="17">
        <f t="shared" si="37"/>
        <v>0.59126690193525011</v>
      </c>
      <c r="F303" s="17">
        <f t="shared" si="37"/>
        <v>2.0288893610390879E-2</v>
      </c>
      <c r="G303" s="17">
        <f t="shared" si="37"/>
        <v>3.2668707025998264E-2</v>
      </c>
      <c r="H303" s="17">
        <f t="shared" si="37"/>
        <v>5.4256833730180164E-2</v>
      </c>
    </row>
    <row r="304" spans="1:8" x14ac:dyDescent="0.2">
      <c r="A304">
        <v>997</v>
      </c>
      <c r="B304">
        <f t="shared" si="31"/>
        <v>0.997</v>
      </c>
      <c r="C304">
        <f t="shared" si="34"/>
        <v>724</v>
      </c>
      <c r="D304" s="17">
        <f t="shared" si="37"/>
        <v>7.167485165566656E-2</v>
      </c>
      <c r="E304" s="17">
        <f t="shared" si="37"/>
        <v>0.59378284583085894</v>
      </c>
      <c r="F304" s="17">
        <f t="shared" si="37"/>
        <v>2.0312227978111701E-2</v>
      </c>
      <c r="G304" s="17">
        <f t="shared" si="37"/>
        <v>3.2674471472791185E-2</v>
      </c>
      <c r="H304" s="17">
        <f t="shared" si="37"/>
        <v>5.4268828494474106E-2</v>
      </c>
    </row>
    <row r="305" spans="1:8" x14ac:dyDescent="0.2">
      <c r="A305">
        <v>998</v>
      </c>
      <c r="B305">
        <f t="shared" si="31"/>
        <v>0.998</v>
      </c>
      <c r="C305">
        <f t="shared" si="34"/>
        <v>725</v>
      </c>
      <c r="D305" s="17">
        <f t="shared" si="37"/>
        <v>7.1714631596822204E-2</v>
      </c>
      <c r="E305" s="17">
        <f t="shared" si="37"/>
        <v>0.59630722130555203</v>
      </c>
      <c r="F305" s="17">
        <f t="shared" si="37"/>
        <v>2.03355080152091E-2</v>
      </c>
      <c r="G305" s="17">
        <f t="shared" si="37"/>
        <v>3.2680230120447275E-2</v>
      </c>
      <c r="H305" s="17">
        <f t="shared" si="37"/>
        <v>5.4280802593537528E-2</v>
      </c>
    </row>
    <row r="306" spans="1:8" x14ac:dyDescent="0.2">
      <c r="A306">
        <v>999</v>
      </c>
      <c r="B306">
        <f t="shared" si="31"/>
        <v>0.999</v>
      </c>
      <c r="C306">
        <f t="shared" si="34"/>
        <v>726</v>
      </c>
      <c r="D306" s="17">
        <f t="shared" si="37"/>
        <v>7.1754365705343853E-2</v>
      </c>
      <c r="E306" s="17">
        <f t="shared" si="37"/>
        <v>0.59884004311116357</v>
      </c>
      <c r="F306" s="17">
        <f t="shared" si="37"/>
        <v>2.0358733947602722E-2</v>
      </c>
      <c r="G306" s="17">
        <f t="shared" si="37"/>
        <v>3.2685982964363258E-2</v>
      </c>
      <c r="H306" s="17">
        <f t="shared" si="37"/>
        <v>5.4292756078381375E-2</v>
      </c>
    </row>
    <row r="307" spans="1:8" x14ac:dyDescent="0.2">
      <c r="A307">
        <v>1000</v>
      </c>
      <c r="B307">
        <f t="shared" si="31"/>
        <v>1</v>
      </c>
      <c r="C307">
        <f t="shared" si="34"/>
        <v>727</v>
      </c>
      <c r="D307" s="17">
        <f t="shared" si="37"/>
        <v>7.1794053999999996E-2</v>
      </c>
      <c r="E307" s="17">
        <f t="shared" si="37"/>
        <v>0.60138132600000005</v>
      </c>
      <c r="F307" s="17">
        <f t="shared" si="37"/>
        <v>2.0381906000000002E-2</v>
      </c>
      <c r="G307" s="17">
        <f t="shared" si="37"/>
        <v>3.2691730000000002E-2</v>
      </c>
      <c r="H307" s="17">
        <f t="shared" si="37"/>
        <v>5.4304689000000003E-2</v>
      </c>
    </row>
    <row r="308" spans="1:8" x14ac:dyDescent="0.2">
      <c r="A308">
        <v>1001</v>
      </c>
      <c r="B308">
        <f t="shared" si="31"/>
        <v>1.0009999999999999</v>
      </c>
      <c r="C308">
        <f t="shared" si="34"/>
        <v>728</v>
      </c>
      <c r="D308" s="17">
        <f t="shared" si="37"/>
        <v>7.1833696499640942E-2</v>
      </c>
      <c r="E308" s="17">
        <f t="shared" si="37"/>
        <v>0.6039310847248307</v>
      </c>
      <c r="F308" s="17">
        <f t="shared" si="37"/>
        <v>2.0405024395903467E-2</v>
      </c>
      <c r="G308" s="17">
        <f t="shared" si="37"/>
        <v>3.2697471222882024E-2</v>
      </c>
      <c r="H308" s="17">
        <f t="shared" si="37"/>
        <v>5.4316601409371258E-2</v>
      </c>
    </row>
    <row r="309" spans="1:8" x14ac:dyDescent="0.2">
      <c r="A309">
        <v>1002</v>
      </c>
      <c r="B309">
        <f t="shared" si="31"/>
        <v>1.002</v>
      </c>
      <c r="C309">
        <f t="shared" si="34"/>
        <v>729</v>
      </c>
      <c r="D309" s="17">
        <f t="shared" si="37"/>
        <v>7.1873293223198381E-2</v>
      </c>
      <c r="E309" s="17">
        <f t="shared" si="37"/>
        <v>0.60648933403888938</v>
      </c>
      <c r="F309" s="17">
        <f t="shared" si="37"/>
        <v>2.0428089357617956E-2</v>
      </c>
      <c r="G309" s="17">
        <f t="shared" si="37"/>
        <v>3.2703206628597145E-2</v>
      </c>
      <c r="H309" s="17">
        <f t="shared" si="37"/>
        <v>5.4328493357456611E-2</v>
      </c>
    </row>
    <row r="310" spans="1:8" x14ac:dyDescent="0.2">
      <c r="A310">
        <v>1003</v>
      </c>
      <c r="B310">
        <f t="shared" si="31"/>
        <v>1.0029999999999999</v>
      </c>
      <c r="C310">
        <f t="shared" si="34"/>
        <v>730</v>
      </c>
      <c r="D310" s="17">
        <f t="shared" ref="D310:H319" si="38">(D$73+D$74*$B310+D$75*($B310^2)+D$76*($B310^3)+D$77/($B310^2))/1000</f>
        <v>7.1912844189685091E-2</v>
      </c>
      <c r="E310" s="17">
        <f t="shared" si="38"/>
        <v>0.60905608869586747</v>
      </c>
      <c r="F310" s="17">
        <f t="shared" si="38"/>
        <v>2.0451101106257752E-2</v>
      </c>
      <c r="G310" s="17">
        <f t="shared" si="38"/>
        <v>3.2708936212796171E-2</v>
      </c>
      <c r="H310" s="17">
        <f t="shared" si="38"/>
        <v>5.4340364895201221E-2</v>
      </c>
    </row>
    <row r="311" spans="1:8" x14ac:dyDescent="0.2">
      <c r="A311">
        <v>1004</v>
      </c>
      <c r="B311">
        <f t="shared" si="31"/>
        <v>1.004</v>
      </c>
      <c r="C311">
        <f t="shared" si="34"/>
        <v>731</v>
      </c>
      <c r="D311" s="17">
        <f t="shared" si="38"/>
        <v>7.19523494181942E-2</v>
      </c>
      <c r="E311" s="17">
        <f t="shared" si="38"/>
        <v>0.61163136344991553</v>
      </c>
      <c r="F311" s="17">
        <f t="shared" si="38"/>
        <v>2.0474059861753716E-2</v>
      </c>
      <c r="G311" s="17">
        <f t="shared" si="38"/>
        <v>3.2714659971192425E-2</v>
      </c>
      <c r="H311" s="17">
        <f t="shared" si="38"/>
        <v>5.4352216073534035E-2</v>
      </c>
    </row>
    <row r="312" spans="1:8" x14ac:dyDescent="0.2">
      <c r="A312">
        <v>1005</v>
      </c>
      <c r="B312">
        <f t="shared" si="31"/>
        <v>1.0049999999999999</v>
      </c>
      <c r="C312">
        <f t="shared" si="34"/>
        <v>732</v>
      </c>
      <c r="D312" s="17">
        <f t="shared" si="38"/>
        <v>7.1991808927898873E-2</v>
      </c>
      <c r="E312" s="17">
        <f t="shared" si="38"/>
        <v>0.61421517305563766</v>
      </c>
      <c r="F312" s="17">
        <f t="shared" si="38"/>
        <v>2.0496965842860312E-2</v>
      </c>
      <c r="G312" s="17">
        <f t="shared" si="38"/>
        <v>3.272037789956142E-2</v>
      </c>
      <c r="H312" s="17">
        <f t="shared" si="38"/>
        <v>5.4364046943367939E-2</v>
      </c>
    </row>
    <row r="313" spans="1:8" x14ac:dyDescent="0.2">
      <c r="A313">
        <v>1006</v>
      </c>
      <c r="B313">
        <f t="shared" si="31"/>
        <v>1.006</v>
      </c>
      <c r="C313">
        <f t="shared" si="34"/>
        <v>733</v>
      </c>
      <c r="D313" s="17">
        <f t="shared" si="38"/>
        <v>7.2031222738051723E-2</v>
      </c>
      <c r="E313" s="17">
        <f t="shared" si="38"/>
        <v>0.61680753226809037</v>
      </c>
      <c r="F313" s="17">
        <f t="shared" si="38"/>
        <v>2.0519819267162683E-2</v>
      </c>
      <c r="G313" s="17">
        <f t="shared" si="38"/>
        <v>3.2726089993740486E-2</v>
      </c>
      <c r="H313" s="17">
        <f t="shared" si="38"/>
        <v>5.4375857555599739E-2</v>
      </c>
    </row>
    <row r="314" spans="1:8" x14ac:dyDescent="0.2">
      <c r="A314">
        <v>1007</v>
      </c>
      <c r="B314">
        <f t="shared" si="31"/>
        <v>1.0069999999999999</v>
      </c>
      <c r="C314">
        <f t="shared" si="34"/>
        <v>734</v>
      </c>
      <c r="D314" s="17">
        <f t="shared" si="38"/>
        <v>7.207059086798441E-2</v>
      </c>
      <c r="E314" s="17">
        <f t="shared" si="38"/>
        <v>0.61940845584277693</v>
      </c>
      <c r="F314" s="17">
        <f t="shared" si="38"/>
        <v>2.0542620351083559E-2</v>
      </c>
      <c r="G314" s="17">
        <f t="shared" si="38"/>
        <v>3.2731796249628409E-2</v>
      </c>
      <c r="H314" s="17">
        <f t="shared" si="38"/>
        <v>5.4387647961110411E-2</v>
      </c>
    </row>
    <row r="315" spans="1:8" x14ac:dyDescent="0.2">
      <c r="A315">
        <v>1008</v>
      </c>
      <c r="B315">
        <f t="shared" si="31"/>
        <v>1.008</v>
      </c>
      <c r="C315">
        <f t="shared" si="34"/>
        <v>735</v>
      </c>
      <c r="D315" s="17">
        <f t="shared" si="38"/>
        <v>7.2109913337107173E-2</v>
      </c>
      <c r="E315" s="17">
        <f t="shared" si="38"/>
        <v>0.62201795853565045</v>
      </c>
      <c r="F315" s="17">
        <f t="shared" si="38"/>
        <v>2.0565369309890207E-2</v>
      </c>
      <c r="G315" s="17">
        <f t="shared" si="38"/>
        <v>3.2737496663185053E-2</v>
      </c>
      <c r="H315" s="17">
        <f t="shared" si="38"/>
        <v>5.4399418210765035E-2</v>
      </c>
    </row>
    <row r="316" spans="1:8" x14ac:dyDescent="0.2">
      <c r="A316">
        <v>1009</v>
      </c>
      <c r="B316">
        <f t="shared" si="31"/>
        <v>1.0089999999999999</v>
      </c>
      <c r="C316">
        <f t="shared" si="34"/>
        <v>736</v>
      </c>
      <c r="D316" s="17">
        <f t="shared" si="38"/>
        <v>7.2149190164908325E-2</v>
      </c>
      <c r="E316" s="17">
        <f t="shared" si="38"/>
        <v>0.62463605510310427</v>
      </c>
      <c r="F316" s="17">
        <f t="shared" si="38"/>
        <v>2.0588066357701249E-2</v>
      </c>
      <c r="G316" s="17">
        <f t="shared" si="38"/>
        <v>3.2743191230430985E-2</v>
      </c>
      <c r="H316" s="17">
        <f t="shared" si="38"/>
        <v>5.4411168355413028E-2</v>
      </c>
    </row>
    <row r="317" spans="1:8" x14ac:dyDescent="0.2">
      <c r="A317">
        <v>1010</v>
      </c>
      <c r="B317">
        <f t="shared" si="31"/>
        <v>1.01</v>
      </c>
      <c r="C317">
        <f t="shared" si="34"/>
        <v>737</v>
      </c>
      <c r="D317" s="17">
        <f t="shared" si="38"/>
        <v>7.2188421370953812E-2</v>
      </c>
      <c r="E317" s="17">
        <f t="shared" si="38"/>
        <v>0.62726276030197547</v>
      </c>
      <c r="F317" s="17">
        <f t="shared" si="38"/>
        <v>2.061071170749355E-2</v>
      </c>
      <c r="G317" s="17">
        <f t="shared" si="38"/>
        <v>3.2748879947447143E-2</v>
      </c>
      <c r="H317" s="17">
        <f t="shared" si="38"/>
        <v>5.4422898445888136E-2</v>
      </c>
    </row>
    <row r="318" spans="1:8" x14ac:dyDescent="0.2">
      <c r="A318">
        <v>1011</v>
      </c>
      <c r="B318">
        <f t="shared" si="31"/>
        <v>1.0109999999999999</v>
      </c>
      <c r="C318">
        <f t="shared" si="34"/>
        <v>738</v>
      </c>
      <c r="D318" s="17">
        <f t="shared" si="38"/>
        <v>7.2227606974886727E-2</v>
      </c>
      <c r="E318" s="17">
        <f t="shared" si="38"/>
        <v>0.62989808888953858</v>
      </c>
      <c r="F318" s="17">
        <f t="shared" si="38"/>
        <v>2.0633305571108956E-2</v>
      </c>
      <c r="G318" s="17">
        <f t="shared" si="38"/>
        <v>3.2754562810374442E-2</v>
      </c>
      <c r="H318" s="17">
        <f t="shared" si="38"/>
        <v>5.4434608533008591E-2</v>
      </c>
    </row>
    <row r="319" spans="1:8" x14ac:dyDescent="0.2">
      <c r="A319">
        <v>1012</v>
      </c>
      <c r="B319">
        <f t="shared" si="31"/>
        <v>1.012</v>
      </c>
      <c r="C319">
        <f t="shared" si="34"/>
        <v>739</v>
      </c>
      <c r="D319" s="17">
        <f t="shared" si="38"/>
        <v>7.226674699642692E-2</v>
      </c>
      <c r="E319" s="17">
        <f t="shared" si="38"/>
        <v>0.63254205562350296</v>
      </c>
      <c r="F319" s="17">
        <f t="shared" si="38"/>
        <v>2.0655848159261012E-2</v>
      </c>
      <c r="G319" s="17">
        <f t="shared" si="38"/>
        <v>3.2760239815413483E-2</v>
      </c>
      <c r="H319" s="17">
        <f t="shared" si="38"/>
        <v>5.444629866757715E-2</v>
      </c>
    </row>
    <row r="320" spans="1:8" x14ac:dyDescent="0.2">
      <c r="A320">
        <v>1013</v>
      </c>
      <c r="B320">
        <f t="shared" ref="B320:B383" si="39">A320/1000</f>
        <v>1.0129999999999999</v>
      </c>
      <c r="C320">
        <f t="shared" si="34"/>
        <v>740</v>
      </c>
      <c r="D320" s="17">
        <f t="shared" ref="D320:H329" si="40">(D$73+D$74*$B320+D$75*($B320^2)+D$76*($B320^3)+D$77/($B320^2))/1000</f>
        <v>7.230584145537039E-2</v>
      </c>
      <c r="E320" s="17">
        <f t="shared" si="40"/>
        <v>0.63519467526201179</v>
      </c>
      <c r="F320" s="17">
        <f t="shared" si="40"/>
        <v>2.067833968154165E-2</v>
      </c>
      <c r="G320" s="17">
        <f t="shared" si="40"/>
        <v>3.276591095882412E-2</v>
      </c>
      <c r="H320" s="17">
        <f t="shared" si="40"/>
        <v>5.4457968900381244E-2</v>
      </c>
    </row>
    <row r="321" spans="1:8" x14ac:dyDescent="0.2">
      <c r="A321">
        <v>1014</v>
      </c>
      <c r="B321">
        <f t="shared" si="39"/>
        <v>1.014</v>
      </c>
      <c r="C321">
        <f t="shared" si="34"/>
        <v>741</v>
      </c>
      <c r="D321" s="17">
        <f t="shared" si="40"/>
        <v>7.2344890371589102E-2</v>
      </c>
      <c r="E321" s="17">
        <f t="shared" si="40"/>
        <v>0.63785596256363997</v>
      </c>
      <c r="F321" s="17">
        <f t="shared" si="40"/>
        <v>2.070078034642784E-2</v>
      </c>
      <c r="G321" s="17">
        <f t="shared" si="40"/>
        <v>3.277157623692515E-2</v>
      </c>
      <c r="H321" s="17">
        <f t="shared" si="40"/>
        <v>5.4469619282193023E-2</v>
      </c>
    </row>
    <row r="322" spans="1:8" x14ac:dyDescent="0.2">
      <c r="A322">
        <v>1015</v>
      </c>
      <c r="B322">
        <f t="shared" si="39"/>
        <v>1.0149999999999999</v>
      </c>
      <c r="C322">
        <f t="shared" si="34"/>
        <v>742</v>
      </c>
      <c r="D322" s="17">
        <f t="shared" si="40"/>
        <v>7.2383893765030252E-2</v>
      </c>
      <c r="E322" s="17">
        <f t="shared" si="40"/>
        <v>0.64052593228738963</v>
      </c>
      <c r="F322" s="17">
        <f t="shared" si="40"/>
        <v>2.0723170361288113E-2</v>
      </c>
      <c r="G322" s="17">
        <f t="shared" si="40"/>
        <v>3.2777235646093986E-2</v>
      </c>
      <c r="H322" s="17">
        <f t="shared" si="40"/>
        <v>5.4481249863769482E-2</v>
      </c>
    </row>
    <row r="323" spans="1:8" x14ac:dyDescent="0.2">
      <c r="A323">
        <v>1016</v>
      </c>
      <c r="B323">
        <f t="shared" si="39"/>
        <v>1.016</v>
      </c>
      <c r="C323">
        <f t="shared" si="34"/>
        <v>743</v>
      </c>
      <c r="D323" s="17">
        <f t="shared" si="40"/>
        <v>7.2422851655715964E-2</v>
      </c>
      <c r="E323" s="17">
        <f t="shared" si="40"/>
        <v>0.64320459919268891</v>
      </c>
      <c r="F323" s="17">
        <f t="shared" si="40"/>
        <v>2.0745509932389241E-2</v>
      </c>
      <c r="G323" s="17">
        <f t="shared" si="40"/>
        <v>3.2782889182766242E-2</v>
      </c>
      <c r="H323" s="17">
        <f t="shared" si="40"/>
        <v>5.4492860695852491E-2</v>
      </c>
    </row>
    <row r="324" spans="1:8" x14ac:dyDescent="0.2">
      <c r="A324">
        <v>1017</v>
      </c>
      <c r="B324">
        <f t="shared" si="39"/>
        <v>1.0169999999999999</v>
      </c>
      <c r="C324">
        <f t="shared" si="34"/>
        <v>744</v>
      </c>
      <c r="D324" s="17">
        <f t="shared" si="40"/>
        <v>7.246176406374287E-2</v>
      </c>
      <c r="E324" s="17">
        <f t="shared" si="40"/>
        <v>0.64589197803938847</v>
      </c>
      <c r="F324" s="17">
        <f t="shared" si="40"/>
        <v>2.0767799264902541E-2</v>
      </c>
      <c r="G324" s="17">
        <f t="shared" si="40"/>
        <v>3.2788536843435488E-2</v>
      </c>
      <c r="H324" s="17">
        <f t="shared" si="40"/>
        <v>5.4504451829168986E-2</v>
      </c>
    </row>
    <row r="325" spans="1:8" x14ac:dyDescent="0.2">
      <c r="A325">
        <v>1018</v>
      </c>
      <c r="B325">
        <f t="shared" si="39"/>
        <v>1.018</v>
      </c>
      <c r="C325">
        <f t="shared" si="34"/>
        <v>745</v>
      </c>
      <c r="D325" s="17">
        <f t="shared" si="40"/>
        <v>7.2500631009281613E-2</v>
      </c>
      <c r="E325" s="17">
        <f t="shared" si="40"/>
        <v>0.64858808358776066</v>
      </c>
      <c r="F325" s="17">
        <f t="shared" si="40"/>
        <v>2.0790038562910517E-2</v>
      </c>
      <c r="G325" s="17">
        <f t="shared" si="40"/>
        <v>3.2794178624652823E-2</v>
      </c>
      <c r="H325" s="17">
        <f t="shared" si="40"/>
        <v>5.4516023314430936E-2</v>
      </c>
    </row>
    <row r="326" spans="1:8" x14ac:dyDescent="0.2">
      <c r="A326">
        <v>1019</v>
      </c>
      <c r="B326">
        <f t="shared" si="39"/>
        <v>1.0189999999999999</v>
      </c>
      <c r="C326">
        <f t="shared" si="34"/>
        <v>746</v>
      </c>
      <c r="D326" s="17">
        <f t="shared" si="40"/>
        <v>7.2539452512576444E-2</v>
      </c>
      <c r="E326" s="17">
        <f t="shared" si="40"/>
        <v>0.65129293059849414</v>
      </c>
      <c r="F326" s="17">
        <f t="shared" si="40"/>
        <v>2.0812228029413134E-2</v>
      </c>
      <c r="G326" s="17">
        <f t="shared" si="40"/>
        <v>3.2799814523026563E-2</v>
      </c>
      <c r="H326" s="17">
        <f t="shared" si="40"/>
        <v>5.4527575202335525E-2</v>
      </c>
    </row>
    <row r="327" spans="1:8" x14ac:dyDescent="0.2">
      <c r="A327">
        <v>1020</v>
      </c>
      <c r="B327">
        <f t="shared" si="39"/>
        <v>1.02</v>
      </c>
      <c r="C327">
        <f t="shared" si="34"/>
        <v>747</v>
      </c>
      <c r="D327" s="17">
        <f t="shared" si="40"/>
        <v>7.2578228593944763E-2</v>
      </c>
      <c r="E327" s="17">
        <f t="shared" si="40"/>
        <v>0.65400653383269503</v>
      </c>
      <c r="F327" s="17">
        <f t="shared" si="40"/>
        <v>2.0834367866334261E-2</v>
      </c>
      <c r="G327" s="17">
        <f t="shared" si="40"/>
        <v>3.2805444535221946E-2</v>
      </c>
      <c r="H327" s="17">
        <f t="shared" si="40"/>
        <v>5.453910754356521E-2</v>
      </c>
    </row>
    <row r="328" spans="1:8" x14ac:dyDescent="0.2">
      <c r="A328">
        <v>1021</v>
      </c>
      <c r="B328">
        <f t="shared" si="39"/>
        <v>1.0209999999999999</v>
      </c>
      <c r="C328">
        <f t="shared" si="34"/>
        <v>748</v>
      </c>
      <c r="D328" s="17">
        <f t="shared" si="40"/>
        <v>7.2616959273776677E-2</v>
      </c>
      <c r="E328" s="17">
        <f t="shared" si="40"/>
        <v>0.656728908051882</v>
      </c>
      <c r="F328" s="17">
        <f t="shared" si="40"/>
        <v>2.0856458274527933E-2</v>
      </c>
      <c r="G328" s="17">
        <f t="shared" si="40"/>
        <v>3.2811068657960699E-2</v>
      </c>
      <c r="H328" s="17">
        <f t="shared" si="40"/>
        <v>5.4550620388787746E-2</v>
      </c>
    </row>
    <row r="329" spans="1:8" x14ac:dyDescent="0.2">
      <c r="A329">
        <v>1022</v>
      </c>
      <c r="B329">
        <f t="shared" si="39"/>
        <v>1.022</v>
      </c>
      <c r="C329">
        <f t="shared" si="34"/>
        <v>749</v>
      </c>
      <c r="D329" s="17">
        <f t="shared" si="40"/>
        <v>7.265564457253465E-2</v>
      </c>
      <c r="E329" s="17">
        <f t="shared" si="40"/>
        <v>0.65946006801798462</v>
      </c>
      <c r="F329" s="17">
        <f t="shared" si="40"/>
        <v>2.0878499453784699E-2</v>
      </c>
      <c r="G329" s="17">
        <f t="shared" si="40"/>
        <v>3.2816686888020828E-2</v>
      </c>
      <c r="H329" s="17">
        <f t="shared" si="40"/>
        <v>5.4562113788656434E-2</v>
      </c>
    </row>
    <row r="330" spans="1:8" x14ac:dyDescent="0.2">
      <c r="A330">
        <v>1023</v>
      </c>
      <c r="B330">
        <f t="shared" si="39"/>
        <v>1.0229999999999999</v>
      </c>
      <c r="C330">
        <f t="shared" si="34"/>
        <v>750</v>
      </c>
      <c r="D330" s="17">
        <f t="shared" ref="D330:H339" si="41">(D$73+D$74*$B330+D$75*($B330^2)+D$76*($B330^3)+D$77/($B330^2))/1000</f>
        <v>7.2694284510753021E-2</v>
      </c>
      <c r="E330" s="17">
        <f t="shared" si="41"/>
        <v>0.6622000284933397</v>
      </c>
      <c r="F330" s="17">
        <f t="shared" si="41"/>
        <v>2.0900491602837752E-2</v>
      </c>
      <c r="G330" s="17">
        <f t="shared" si="41"/>
        <v>3.2822299222236208E-2</v>
      </c>
      <c r="H330" s="17">
        <f t="shared" si="41"/>
        <v>5.4573587793809962E-2</v>
      </c>
    </row>
    <row r="331" spans="1:8" x14ac:dyDescent="0.2">
      <c r="A331">
        <v>1024</v>
      </c>
      <c r="B331">
        <f t="shared" si="39"/>
        <v>1.024</v>
      </c>
      <c r="C331">
        <f t="shared" si="34"/>
        <v>751</v>
      </c>
      <c r="D331" s="17">
        <f t="shared" si="41"/>
        <v>7.2732879109037529E-2</v>
      </c>
      <c r="E331" s="17">
        <f t="shared" si="41"/>
        <v>0.6649488042406938</v>
      </c>
      <c r="F331" s="17">
        <f t="shared" si="41"/>
        <v>2.0922434919369272E-2</v>
      </c>
      <c r="G331" s="17">
        <f t="shared" si="41"/>
        <v>3.2827905657496277E-2</v>
      </c>
      <c r="H331" s="17">
        <f t="shared" si="41"/>
        <v>5.4585042454872779E-2</v>
      </c>
    </row>
    <row r="332" spans="1:8" x14ac:dyDescent="0.2">
      <c r="A332">
        <v>1025</v>
      </c>
      <c r="B332">
        <f t="shared" si="39"/>
        <v>1.0249999999999999</v>
      </c>
      <c r="C332">
        <f t="shared" si="34"/>
        <v>752</v>
      </c>
      <c r="D332" s="17">
        <f t="shared" si="41"/>
        <v>7.2771428388065038E-2</v>
      </c>
      <c r="E332" s="17">
        <f t="shared" si="41"/>
        <v>0.6677064100231912</v>
      </c>
      <c r="F332" s="17">
        <f t="shared" si="41"/>
        <v>2.0944329600016416E-2</v>
      </c>
      <c r="G332" s="17">
        <f t="shared" si="41"/>
        <v>3.2833506190745688E-2</v>
      </c>
      <c r="H332" s="17">
        <f t="shared" si="41"/>
        <v>5.4596477822454886E-2</v>
      </c>
    </row>
    <row r="333" spans="1:8" x14ac:dyDescent="0.2">
      <c r="A333">
        <v>1026</v>
      </c>
      <c r="B333">
        <f t="shared" si="39"/>
        <v>1.026</v>
      </c>
      <c r="C333">
        <f t="shared" si="34"/>
        <v>753</v>
      </c>
      <c r="D333" s="17">
        <f t="shared" si="41"/>
        <v>7.2809932368583005E-2</v>
      </c>
      <c r="E333" s="17">
        <f t="shared" si="41"/>
        <v>0.67047286060438294</v>
      </c>
      <c r="F333" s="17">
        <f t="shared" si="41"/>
        <v>2.0966175840377528E-2</v>
      </c>
      <c r="G333" s="17">
        <f t="shared" si="41"/>
        <v>3.2839100818984043E-2</v>
      </c>
      <c r="H333" s="17">
        <f t="shared" si="41"/>
        <v>5.4607893947152188E-2</v>
      </c>
    </row>
    <row r="334" spans="1:8" x14ac:dyDescent="0.2">
      <c r="A334">
        <v>1027</v>
      </c>
      <c r="B334">
        <f t="shared" si="39"/>
        <v>1.0269999999999999</v>
      </c>
      <c r="C334">
        <f t="shared" si="34"/>
        <v>754</v>
      </c>
      <c r="D334" s="17">
        <f t="shared" si="41"/>
        <v>7.2848391071409072E-2</v>
      </c>
      <c r="E334" s="17">
        <f t="shared" si="41"/>
        <v>0.67324817074821564</v>
      </c>
      <c r="F334" s="17">
        <f t="shared" si="41"/>
        <v>2.0987973835018166E-2</v>
      </c>
      <c r="G334" s="17">
        <f t="shared" si="41"/>
        <v>3.2844689539265545E-2</v>
      </c>
      <c r="H334" s="17">
        <f t="shared" si="41"/>
        <v>5.4619290879546332E-2</v>
      </c>
    </row>
    <row r="335" spans="1:8" x14ac:dyDescent="0.2">
      <c r="A335">
        <v>1028</v>
      </c>
      <c r="B335">
        <f t="shared" si="39"/>
        <v>1.028</v>
      </c>
      <c r="C335">
        <f t="shared" si="34"/>
        <v>755</v>
      </c>
      <c r="D335" s="17">
        <f t="shared" si="41"/>
        <v>7.2886804517430737E-2</v>
      </c>
      <c r="E335" s="17">
        <f t="shared" si="41"/>
        <v>0.67603235521903504</v>
      </c>
      <c r="F335" s="17">
        <f t="shared" si="41"/>
        <v>2.1009723777477163E-2</v>
      </c>
      <c r="G335" s="17">
        <f t="shared" si="41"/>
        <v>3.2850272348698625E-2</v>
      </c>
      <c r="H335" s="17">
        <f t="shared" si="41"/>
        <v>5.4630668670205031E-2</v>
      </c>
    </row>
    <row r="336" spans="1:8" x14ac:dyDescent="0.2">
      <c r="A336">
        <v>1029</v>
      </c>
      <c r="B336">
        <f t="shared" si="39"/>
        <v>1.0289999999999999</v>
      </c>
      <c r="C336">
        <f t="shared" si="34"/>
        <v>756</v>
      </c>
      <c r="D336" s="17">
        <f t="shared" si="41"/>
        <v>7.2925172727604862E-2</v>
      </c>
      <c r="E336" s="17">
        <f t="shared" si="41"/>
        <v>0.67882542878157814</v>
      </c>
      <c r="F336" s="17">
        <f t="shared" si="41"/>
        <v>2.1031425860272547E-2</v>
      </c>
      <c r="G336" s="17">
        <f t="shared" si="41"/>
        <v>3.2855849244445713E-2</v>
      </c>
      <c r="H336" s="17">
        <f t="shared" si="41"/>
        <v>5.4642027369681906E-2</v>
      </c>
    </row>
    <row r="337" spans="1:8" x14ac:dyDescent="0.2">
      <c r="A337">
        <v>1030</v>
      </c>
      <c r="B337">
        <f t="shared" si="39"/>
        <v>1.03</v>
      </c>
      <c r="C337">
        <f t="shared" si="34"/>
        <v>757</v>
      </c>
      <c r="D337" s="17">
        <f t="shared" si="41"/>
        <v>7.2963495722957364E-2</v>
      </c>
      <c r="E337" s="17">
        <f t="shared" si="41"/>
        <v>0.68162740620097706</v>
      </c>
      <c r="F337" s="17">
        <f t="shared" si="41"/>
        <v>2.1053080274907553E-2</v>
      </c>
      <c r="G337" s="17">
        <f t="shared" si="41"/>
        <v>3.2861420223722876E-2</v>
      </c>
      <c r="H337" s="17">
        <f t="shared" si="41"/>
        <v>5.4653367028516787E-2</v>
      </c>
    </row>
    <row r="338" spans="1:8" x14ac:dyDescent="0.2">
      <c r="A338">
        <v>1031</v>
      </c>
      <c r="B338">
        <f t="shared" si="39"/>
        <v>1.0309999999999999</v>
      </c>
      <c r="C338">
        <f t="shared" ref="C338:C401" si="42">A338-273</f>
        <v>758</v>
      </c>
      <c r="D338" s="17">
        <f t="shared" si="41"/>
        <v>7.3001773524582633E-2</v>
      </c>
      <c r="E338" s="17">
        <f t="shared" si="41"/>
        <v>0.68443830224275137</v>
      </c>
      <c r="F338" s="17">
        <f t="shared" si="41"/>
        <v>2.1074687211876469E-2</v>
      </c>
      <c r="G338" s="17">
        <f t="shared" si="41"/>
        <v>3.2866985283799499E-2</v>
      </c>
      <c r="H338" s="17">
        <f t="shared" si="41"/>
        <v>5.4664687697235606E-2</v>
      </c>
    </row>
    <row r="339" spans="1:8" x14ac:dyDescent="0.2">
      <c r="A339">
        <v>1032</v>
      </c>
      <c r="B339">
        <f t="shared" si="39"/>
        <v>1.032</v>
      </c>
      <c r="C339">
        <f t="shared" si="42"/>
        <v>759</v>
      </c>
      <c r="D339" s="17">
        <f t="shared" si="41"/>
        <v>7.3040006153643394E-2</v>
      </c>
      <c r="E339" s="17">
        <f t="shared" si="41"/>
        <v>0.6872581316728088</v>
      </c>
      <c r="F339" s="17">
        <f t="shared" si="41"/>
        <v>2.1096246860670551E-2</v>
      </c>
      <c r="G339" s="17">
        <f t="shared" si="41"/>
        <v>3.287254442199803E-2</v>
      </c>
      <c r="H339" s="17">
        <f t="shared" si="41"/>
        <v>5.4675989426350644E-2</v>
      </c>
    </row>
    <row r="340" spans="1:8" x14ac:dyDescent="0.2">
      <c r="A340">
        <v>1033</v>
      </c>
      <c r="B340">
        <f t="shared" si="39"/>
        <v>1.0329999999999999</v>
      </c>
      <c r="C340">
        <f t="shared" si="42"/>
        <v>760</v>
      </c>
      <c r="D340" s="17">
        <f t="shared" ref="D340:H349" si="43">(D$73+D$74*$B340+D$75*($B340^2)+D$76*($B340^3)+D$77/($B340^2))/1000</f>
        <v>7.3078193631370053E-2</v>
      </c>
      <c r="E340" s="17">
        <f t="shared" si="43"/>
        <v>0.69008690925744365</v>
      </c>
      <c r="F340" s="17">
        <f t="shared" si="43"/>
        <v>2.11177594097838E-2</v>
      </c>
      <c r="G340" s="17">
        <f t="shared" si="43"/>
        <v>3.2878097635693562E-2</v>
      </c>
      <c r="H340" s="17">
        <f t="shared" si="43"/>
        <v>5.4687272266360436E-2</v>
      </c>
    </row>
    <row r="341" spans="1:8" x14ac:dyDescent="0.2">
      <c r="A341">
        <v>1034</v>
      </c>
      <c r="B341">
        <f t="shared" si="39"/>
        <v>1.034</v>
      </c>
      <c r="C341">
        <f t="shared" si="42"/>
        <v>761</v>
      </c>
      <c r="D341" s="17">
        <f t="shared" si="43"/>
        <v>7.3116335979060504E-2</v>
      </c>
      <c r="E341" s="17">
        <f t="shared" si="43"/>
        <v>0.69292464976333035</v>
      </c>
      <c r="F341" s="17">
        <f t="shared" si="43"/>
        <v>2.1139225046718793E-2</v>
      </c>
      <c r="G341" s="17">
        <f t="shared" si="43"/>
        <v>3.288364492231368E-2</v>
      </c>
      <c r="H341" s="17">
        <f t="shared" si="43"/>
        <v>5.469853626775005E-2</v>
      </c>
    </row>
    <row r="342" spans="1:8" x14ac:dyDescent="0.2">
      <c r="A342">
        <v>1035</v>
      </c>
      <c r="B342">
        <f t="shared" si="39"/>
        <v>1.0349999999999999</v>
      </c>
      <c r="C342">
        <f t="shared" si="42"/>
        <v>762</v>
      </c>
      <c r="D342" s="17">
        <f t="shared" si="43"/>
        <v>7.3154433218079615E-2</v>
      </c>
      <c r="E342" s="17">
        <f t="shared" si="43"/>
        <v>0.69577136795752526</v>
      </c>
      <c r="F342" s="17">
        <f t="shared" si="43"/>
        <v>2.1160643957992359E-2</v>
      </c>
      <c r="G342" s="17">
        <f t="shared" si="43"/>
        <v>3.2889186279338019E-2</v>
      </c>
      <c r="H342" s="17">
        <f t="shared" si="43"/>
        <v>5.4709781480990954E-2</v>
      </c>
    </row>
    <row r="343" spans="1:8" x14ac:dyDescent="0.2">
      <c r="A343">
        <v>1036</v>
      </c>
      <c r="B343">
        <f t="shared" si="39"/>
        <v>1.036</v>
      </c>
      <c r="C343">
        <f t="shared" si="42"/>
        <v>763</v>
      </c>
      <c r="D343" s="17">
        <f t="shared" si="43"/>
        <v>7.3192485369858923E-2</v>
      </c>
      <c r="E343" s="17">
        <f t="shared" si="43"/>
        <v>0.69862707860746653</v>
      </c>
      <c r="F343" s="17">
        <f t="shared" si="43"/>
        <v>2.1182016329141354E-2</v>
      </c>
      <c r="G343" s="17">
        <f t="shared" si="43"/>
        <v>3.2894721704298024E-2</v>
      </c>
      <c r="H343" s="17">
        <f t="shared" si="43"/>
        <v>5.4721007956541313E-2</v>
      </c>
    </row>
    <row r="344" spans="1:8" x14ac:dyDescent="0.2">
      <c r="A344">
        <v>1037</v>
      </c>
      <c r="B344">
        <f t="shared" si="39"/>
        <v>1.0369999999999999</v>
      </c>
      <c r="C344">
        <f t="shared" si="42"/>
        <v>764</v>
      </c>
      <c r="D344" s="17">
        <f t="shared" si="43"/>
        <v>7.3230492455896148E-2</v>
      </c>
      <c r="E344" s="17">
        <f t="shared" si="43"/>
        <v>0.70149179648096383</v>
      </c>
      <c r="F344" s="17">
        <f t="shared" si="43"/>
        <v>2.1203342344728312E-2</v>
      </c>
      <c r="G344" s="17">
        <f t="shared" si="43"/>
        <v>3.2900251194776672E-2</v>
      </c>
      <c r="H344" s="17">
        <f t="shared" si="43"/>
        <v>5.4732215744845825E-2</v>
      </c>
    </row>
    <row r="345" spans="1:8" x14ac:dyDescent="0.2">
      <c r="A345">
        <v>1038</v>
      </c>
      <c r="B345">
        <f t="shared" si="39"/>
        <v>1.038</v>
      </c>
      <c r="C345">
        <f t="shared" si="42"/>
        <v>765</v>
      </c>
      <c r="D345" s="17">
        <f t="shared" si="43"/>
        <v>7.3268454497754876E-2</v>
      </c>
      <c r="E345" s="17">
        <f t="shared" si="43"/>
        <v>0.70436553634620236</v>
      </c>
      <c r="F345" s="17">
        <f t="shared" si="43"/>
        <v>2.1224622188347045E-2</v>
      </c>
      <c r="G345" s="17">
        <f t="shared" si="43"/>
        <v>3.2905774748408119E-2</v>
      </c>
      <c r="H345" s="17">
        <f t="shared" si="43"/>
        <v>5.4743404896336022E-2</v>
      </c>
    </row>
    <row r="346" spans="1:8" x14ac:dyDescent="0.2">
      <c r="A346">
        <v>1039</v>
      </c>
      <c r="B346">
        <f t="shared" si="39"/>
        <v>1.0389999999999999</v>
      </c>
      <c r="C346">
        <f t="shared" si="42"/>
        <v>766</v>
      </c>
      <c r="D346" s="17">
        <f t="shared" si="43"/>
        <v>7.3306371517064234E-2</v>
      </c>
      <c r="E346" s="17">
        <f t="shared" si="43"/>
        <v>0.70724831297174195</v>
      </c>
      <c r="F346" s="17">
        <f t="shared" si="43"/>
        <v>2.1245856042628242E-2</v>
      </c>
      <c r="G346" s="17">
        <f t="shared" si="43"/>
        <v>3.2911292362877459E-2</v>
      </c>
      <c r="H346" s="17">
        <f t="shared" si="43"/>
        <v>5.4754575461430248E-2</v>
      </c>
    </row>
    <row r="347" spans="1:8" x14ac:dyDescent="0.2">
      <c r="A347">
        <v>1040</v>
      </c>
      <c r="B347">
        <f t="shared" si="39"/>
        <v>1.04</v>
      </c>
      <c r="C347">
        <f t="shared" si="42"/>
        <v>767</v>
      </c>
      <c r="D347" s="17">
        <f t="shared" si="43"/>
        <v>7.3344243535518383E-2</v>
      </c>
      <c r="E347" s="17">
        <f t="shared" si="43"/>
        <v>0.71014014112650892</v>
      </c>
      <c r="F347" s="17">
        <f t="shared" si="43"/>
        <v>2.1267044089245062E-2</v>
      </c>
      <c r="G347" s="17">
        <f t="shared" si="43"/>
        <v>3.2916804035920379E-2</v>
      </c>
      <c r="H347" s="17">
        <f t="shared" si="43"/>
        <v>5.4765727490533676E-2</v>
      </c>
    </row>
    <row r="348" spans="1:8" x14ac:dyDescent="0.2">
      <c r="A348">
        <v>1041</v>
      </c>
      <c r="B348">
        <f t="shared" si="39"/>
        <v>1.0409999999999999</v>
      </c>
      <c r="C348">
        <f t="shared" si="42"/>
        <v>768</v>
      </c>
      <c r="D348" s="17">
        <f t="shared" si="43"/>
        <v>7.3382070574876279E-2</v>
      </c>
      <c r="E348" s="17">
        <f t="shared" si="43"/>
        <v>0.71304103557979981</v>
      </c>
      <c r="F348" s="17">
        <f t="shared" si="43"/>
        <v>2.1288186508918613E-2</v>
      </c>
      <c r="G348" s="17">
        <f t="shared" si="43"/>
        <v>3.2922309765322899E-2</v>
      </c>
      <c r="H348" s="17">
        <f t="shared" si="43"/>
        <v>5.4776861034038511E-2</v>
      </c>
    </row>
    <row r="349" spans="1:8" x14ac:dyDescent="0.2">
      <c r="A349">
        <v>1042</v>
      </c>
      <c r="B349">
        <f t="shared" si="39"/>
        <v>1.042</v>
      </c>
      <c r="C349">
        <f t="shared" si="42"/>
        <v>769</v>
      </c>
      <c r="D349" s="17">
        <f t="shared" si="43"/>
        <v>7.3419852656961118E-2</v>
      </c>
      <c r="E349" s="17">
        <f t="shared" si="43"/>
        <v>0.71595101110127457</v>
      </c>
      <c r="F349" s="17">
        <f t="shared" si="43"/>
        <v>2.1309283481423448E-2</v>
      </c>
      <c r="G349" s="17">
        <f t="shared" si="43"/>
        <v>3.2927809548921091E-2</v>
      </c>
      <c r="H349" s="17">
        <f t="shared" si="43"/>
        <v>5.4787976142323919E-2</v>
      </c>
    </row>
    <row r="350" spans="1:8" x14ac:dyDescent="0.2">
      <c r="A350">
        <v>1043</v>
      </c>
      <c r="B350">
        <f t="shared" si="39"/>
        <v>1.0429999999999999</v>
      </c>
      <c r="C350">
        <f t="shared" si="42"/>
        <v>770</v>
      </c>
      <c r="D350" s="17">
        <f t="shared" ref="D350:H359" si="44">(D$73+D$74*$B350+D$75*($B350^2)+D$76*($B350^3)+D$77/($B350^2))/1000</f>
        <v>7.3457589803660239E-2</v>
      </c>
      <c r="E350" s="17">
        <f t="shared" si="44"/>
        <v>0.71887008246095863</v>
      </c>
      <c r="F350" s="17">
        <f t="shared" si="44"/>
        <v>2.1330335185592957E-2</v>
      </c>
      <c r="G350" s="17">
        <f t="shared" si="44"/>
        <v>3.2933303384600751E-2</v>
      </c>
      <c r="H350" s="17">
        <f t="shared" si="44"/>
        <v>5.4799072865756297E-2</v>
      </c>
    </row>
    <row r="351" spans="1:8" x14ac:dyDescent="0.2">
      <c r="A351">
        <v>1044</v>
      </c>
      <c r="B351">
        <f t="shared" si="39"/>
        <v>1.044</v>
      </c>
      <c r="C351">
        <f t="shared" si="42"/>
        <v>771</v>
      </c>
      <c r="D351" s="17">
        <f t="shared" si="44"/>
        <v>7.3495282036924445E-2</v>
      </c>
      <c r="E351" s="17">
        <f t="shared" si="44"/>
        <v>0.721798264429239</v>
      </c>
      <c r="F351" s="17">
        <f t="shared" si="44"/>
        <v>2.1351341799324873E-2</v>
      </c>
      <c r="G351" s="17">
        <f t="shared" si="44"/>
        <v>3.2938791270297176E-2</v>
      </c>
      <c r="H351" s="17">
        <f t="shared" si="44"/>
        <v>5.4810151254689125E-2</v>
      </c>
    </row>
    <row r="352" spans="1:8" x14ac:dyDescent="0.2">
      <c r="A352">
        <v>1045</v>
      </c>
      <c r="B352">
        <f t="shared" si="39"/>
        <v>1.0449999999999999</v>
      </c>
      <c r="C352">
        <f t="shared" si="42"/>
        <v>772</v>
      </c>
      <c r="D352" s="17">
        <f t="shared" si="44"/>
        <v>7.3532929378767889E-2</v>
      </c>
      <c r="E352" s="17">
        <f t="shared" si="44"/>
        <v>0.72473557177685966</v>
      </c>
      <c r="F352" s="17">
        <f t="shared" si="44"/>
        <v>2.1372303499586558E-2</v>
      </c>
      <c r="G352" s="17">
        <f t="shared" si="44"/>
        <v>3.2944273203994789E-2</v>
      </c>
      <c r="H352" s="17">
        <f t="shared" si="44"/>
        <v>5.4821211359463204E-2</v>
      </c>
    </row>
    <row r="353" spans="1:8" x14ac:dyDescent="0.2">
      <c r="A353">
        <v>1046</v>
      </c>
      <c r="B353">
        <f t="shared" si="39"/>
        <v>1.046</v>
      </c>
      <c r="C353">
        <f t="shared" si="42"/>
        <v>773</v>
      </c>
      <c r="D353" s="17">
        <f t="shared" si="44"/>
        <v>7.3570531851267593E-2</v>
      </c>
      <c r="E353" s="17">
        <f t="shared" si="44"/>
        <v>0.72768201927492415</v>
      </c>
      <c r="F353" s="17">
        <f t="shared" si="44"/>
        <v>2.1393220462420367E-2</v>
      </c>
      <c r="G353" s="17">
        <f t="shared" si="44"/>
        <v>3.2949749183726958E-2</v>
      </c>
      <c r="H353" s="17">
        <f t="shared" si="44"/>
        <v>5.483225323040665E-2</v>
      </c>
    </row>
    <row r="354" spans="1:8" x14ac:dyDescent="0.2">
      <c r="A354">
        <v>1047</v>
      </c>
      <c r="B354">
        <f t="shared" si="39"/>
        <v>1.0469999999999999</v>
      </c>
      <c r="C354">
        <f t="shared" si="42"/>
        <v>774</v>
      </c>
      <c r="D354" s="17">
        <f t="shared" si="44"/>
        <v>7.3608089476563041E-2</v>
      </c>
      <c r="E354" s="17">
        <f t="shared" si="44"/>
        <v>0.73063762169488922</v>
      </c>
      <c r="F354" s="17">
        <f t="shared" si="44"/>
        <v>2.1414092862948948E-2</v>
      </c>
      <c r="G354" s="17">
        <f t="shared" si="44"/>
        <v>3.2955219207575652E-2</v>
      </c>
      <c r="H354" s="17">
        <f t="shared" si="44"/>
        <v>5.4843276917835006E-2</v>
      </c>
    </row>
    <row r="355" spans="1:8" x14ac:dyDescent="0.2">
      <c r="A355">
        <v>1048</v>
      </c>
      <c r="B355">
        <f t="shared" si="39"/>
        <v>1.048</v>
      </c>
      <c r="C355">
        <f t="shared" si="42"/>
        <v>775</v>
      </c>
      <c r="D355" s="17">
        <f t="shared" si="44"/>
        <v>7.3645602276855987E-2</v>
      </c>
      <c r="E355" s="17">
        <f t="shared" si="44"/>
        <v>0.73360239380856873</v>
      </c>
      <c r="F355" s="17">
        <f t="shared" si="44"/>
        <v>2.1434920875380483E-2</v>
      </c>
      <c r="G355" s="17">
        <f t="shared" si="44"/>
        <v>3.2960683273671167E-2</v>
      </c>
      <c r="H355" s="17">
        <f t="shared" si="44"/>
        <v>5.485428247205127E-2</v>
      </c>
    </row>
    <row r="356" spans="1:8" x14ac:dyDescent="0.2">
      <c r="A356">
        <v>1049</v>
      </c>
      <c r="B356">
        <f t="shared" si="39"/>
        <v>1.0489999999999999</v>
      </c>
      <c r="C356">
        <f t="shared" si="42"/>
        <v>776</v>
      </c>
      <c r="D356" s="17">
        <f t="shared" si="44"/>
        <v>7.3683070274409929E-2</v>
      </c>
      <c r="E356" s="17">
        <f t="shared" si="44"/>
        <v>0.73657635038812375</v>
      </c>
      <c r="F356" s="17">
        <f t="shared" si="44"/>
        <v>2.1455704673013963E-2</v>
      </c>
      <c r="G356" s="17">
        <f t="shared" si="44"/>
        <v>3.2966141380191882E-2</v>
      </c>
      <c r="H356" s="17">
        <f t="shared" si="44"/>
        <v>5.4865269943346021E-2</v>
      </c>
    </row>
    <row r="357" spans="1:8" x14ac:dyDescent="0.2">
      <c r="A357">
        <v>1050</v>
      </c>
      <c r="B357">
        <f t="shared" si="39"/>
        <v>1.05</v>
      </c>
      <c r="C357">
        <f t="shared" si="42"/>
        <v>777</v>
      </c>
      <c r="D357" s="17">
        <f t="shared" si="44"/>
        <v>7.3720493491549896E-2</v>
      </c>
      <c r="E357" s="17">
        <f t="shared" si="44"/>
        <v>0.73955950620606581</v>
      </c>
      <c r="F357" s="17">
        <f t="shared" si="44"/>
        <v>2.1476444428244326E-2</v>
      </c>
      <c r="G357" s="17">
        <f t="shared" si="44"/>
        <v>3.2971593525363933E-2</v>
      </c>
      <c r="H357" s="17">
        <f t="shared" si="44"/>
        <v>5.4876239381997448E-2</v>
      </c>
    </row>
    <row r="358" spans="1:8" x14ac:dyDescent="0.2">
      <c r="A358">
        <v>1051</v>
      </c>
      <c r="B358">
        <f t="shared" si="39"/>
        <v>1.0509999999999999</v>
      </c>
      <c r="C358">
        <f t="shared" si="42"/>
        <v>778</v>
      </c>
      <c r="D358" s="17">
        <f t="shared" si="44"/>
        <v>7.3757871950661941E-2</v>
      </c>
      <c r="E358" s="17">
        <f t="shared" si="44"/>
        <v>0.74255187603525441</v>
      </c>
      <c r="F358" s="17">
        <f t="shared" si="44"/>
        <v>2.1497140312567671E-2</v>
      </c>
      <c r="G358" s="17">
        <f t="shared" si="44"/>
        <v>3.2977039707461041E-2</v>
      </c>
      <c r="H358" s="17">
        <f t="shared" si="44"/>
        <v>5.4887190838271427E-2</v>
      </c>
    </row>
    <row r="359" spans="1:8" x14ac:dyDescent="0.2">
      <c r="A359">
        <v>1052</v>
      </c>
      <c r="B359">
        <f t="shared" si="39"/>
        <v>1.052</v>
      </c>
      <c r="C359">
        <f t="shared" si="42"/>
        <v>779</v>
      </c>
      <c r="D359" s="17">
        <f t="shared" si="44"/>
        <v>7.3795205674192912E-2</v>
      </c>
      <c r="E359" s="17">
        <f t="shared" si="44"/>
        <v>0.74555347464889299</v>
      </c>
      <c r="F359" s="17">
        <f t="shared" si="44"/>
        <v>2.1517792496586311E-2</v>
      </c>
      <c r="G359" s="17">
        <f t="shared" si="44"/>
        <v>3.2982479924804083E-2</v>
      </c>
      <c r="H359" s="17">
        <f t="shared" si="44"/>
        <v>5.4898124362421613E-2</v>
      </c>
    </row>
    <row r="360" spans="1:8" x14ac:dyDescent="0.2">
      <c r="A360">
        <v>1053</v>
      </c>
      <c r="B360">
        <f t="shared" si="39"/>
        <v>1.0529999999999999</v>
      </c>
      <c r="C360">
        <f t="shared" si="42"/>
        <v>780</v>
      </c>
      <c r="D360" s="17">
        <f t="shared" ref="D360:H369" si="45">(D$73+D$74*$B360+D$75*($B360^2)+D$76*($B360^3)+D$77/($B360^2))/1000</f>
        <v>7.3832494684650155E-2</v>
      </c>
      <c r="E360" s="17">
        <f t="shared" si="45"/>
        <v>0.74856431682052882</v>
      </c>
      <c r="F360" s="17">
        <f t="shared" si="45"/>
        <v>2.1538401150013924E-2</v>
      </c>
      <c r="G360" s="17">
        <f t="shared" si="45"/>
        <v>3.2987914175760948E-2</v>
      </c>
      <c r="H360" s="17">
        <f t="shared" si="45"/>
        <v>5.4909040004689484E-2</v>
      </c>
    </row>
    <row r="361" spans="1:8" x14ac:dyDescent="0.2">
      <c r="A361">
        <v>1054</v>
      </c>
      <c r="B361">
        <f t="shared" si="39"/>
        <v>1.054</v>
      </c>
      <c r="C361">
        <f t="shared" si="42"/>
        <v>781</v>
      </c>
      <c r="D361" s="17">
        <f t="shared" si="45"/>
        <v>7.386973900460099E-2</v>
      </c>
      <c r="E361" s="17">
        <f t="shared" si="45"/>
        <v>0.75158441732405246</v>
      </c>
      <c r="F361" s="17">
        <f t="shared" si="45"/>
        <v>2.1558966441680618E-2</v>
      </c>
      <c r="G361" s="17">
        <f t="shared" si="45"/>
        <v>3.2993342458746286E-2</v>
      </c>
      <c r="H361" s="17">
        <f t="shared" si="45"/>
        <v>5.491993781530443E-2</v>
      </c>
    </row>
    <row r="362" spans="1:8" x14ac:dyDescent="0.2">
      <c r="A362">
        <v>1055</v>
      </c>
      <c r="B362">
        <f t="shared" si="39"/>
        <v>1.0549999999999999</v>
      </c>
      <c r="C362">
        <f t="shared" si="42"/>
        <v>782</v>
      </c>
      <c r="D362" s="17">
        <f t="shared" si="45"/>
        <v>7.390693865667243E-2</v>
      </c>
      <c r="E362" s="17">
        <f t="shared" si="45"/>
        <v>0.75461379093368952</v>
      </c>
      <c r="F362" s="17">
        <f t="shared" si="45"/>
        <v>2.157948853953788E-2</v>
      </c>
      <c r="G362" s="17">
        <f t="shared" si="45"/>
        <v>3.2998764772221086E-2</v>
      </c>
      <c r="H362" s="17">
        <f t="shared" si="45"/>
        <v>5.4930817844483809E-2</v>
      </c>
    </row>
    <row r="363" spans="1:8" x14ac:dyDescent="0.2">
      <c r="A363">
        <v>1056</v>
      </c>
      <c r="B363">
        <f t="shared" si="39"/>
        <v>1.056</v>
      </c>
      <c r="C363">
        <f t="shared" si="42"/>
        <v>783</v>
      </c>
      <c r="D363" s="17">
        <f t="shared" si="45"/>
        <v>7.394409366355105E-2</v>
      </c>
      <c r="E363" s="17">
        <f t="shared" si="45"/>
        <v>0.75765245242400747</v>
      </c>
      <c r="F363" s="17">
        <f t="shared" si="45"/>
        <v>2.1599967610663635E-2</v>
      </c>
      <c r="G363" s="17">
        <f t="shared" si="45"/>
        <v>3.3004181114692617E-2</v>
      </c>
      <c r="H363" s="17">
        <f t="shared" si="45"/>
        <v>5.4941680142433016E-2</v>
      </c>
    </row>
    <row r="364" spans="1:8" x14ac:dyDescent="0.2">
      <c r="A364">
        <v>1057</v>
      </c>
      <c r="B364">
        <f t="shared" si="39"/>
        <v>1.0569999999999999</v>
      </c>
      <c r="C364">
        <f t="shared" si="42"/>
        <v>784</v>
      </c>
      <c r="D364" s="17">
        <f t="shared" si="45"/>
        <v>7.3981204047982307E-2</v>
      </c>
      <c r="E364" s="17">
        <f t="shared" si="45"/>
        <v>0.76070041656990606</v>
      </c>
      <c r="F364" s="17">
        <f t="shared" si="45"/>
        <v>2.1620403821267183E-2</v>
      </c>
      <c r="G364" s="17">
        <f t="shared" si="45"/>
        <v>3.3009591484713982E-2</v>
      </c>
      <c r="H364" s="17">
        <f t="shared" si="45"/>
        <v>5.4952524759345554E-2</v>
      </c>
    </row>
    <row r="365" spans="1:8" x14ac:dyDescent="0.2">
      <c r="A365">
        <v>1058</v>
      </c>
      <c r="B365">
        <f t="shared" si="39"/>
        <v>1.0580000000000001</v>
      </c>
      <c r="C365">
        <f t="shared" si="42"/>
        <v>785</v>
      </c>
      <c r="D365" s="17">
        <f t="shared" si="45"/>
        <v>7.4018269832770503E-2</v>
      </c>
      <c r="E365" s="17">
        <f t="shared" si="45"/>
        <v>0.76375769814662076</v>
      </c>
      <c r="F365" s="17">
        <f t="shared" si="45"/>
        <v>2.1640797336694096E-2</v>
      </c>
      <c r="G365" s="17">
        <f t="shared" si="45"/>
        <v>3.301499588088401E-2</v>
      </c>
      <c r="H365" s="17">
        <f t="shared" si="45"/>
        <v>5.4963351745403129E-2</v>
      </c>
    </row>
    <row r="366" spans="1:8" x14ac:dyDescent="0.2">
      <c r="A366">
        <v>1059</v>
      </c>
      <c r="B366">
        <f t="shared" si="39"/>
        <v>1.0589999999999999</v>
      </c>
      <c r="C366">
        <f t="shared" si="42"/>
        <v>786</v>
      </c>
      <c r="D366" s="17">
        <f t="shared" si="45"/>
        <v>7.4055291040778265E-2</v>
      </c>
      <c r="E366" s="17">
        <f t="shared" si="45"/>
        <v>0.76682431192971856</v>
      </c>
      <c r="F366" s="17">
        <f t="shared" si="45"/>
        <v>2.1661148321431171E-2</v>
      </c>
      <c r="G366" s="17">
        <f t="shared" si="45"/>
        <v>3.3020394301846882E-2</v>
      </c>
      <c r="H366" s="17">
        <f t="shared" si="45"/>
        <v>5.4974161150775636E-2</v>
      </c>
    </row>
    <row r="367" spans="1:8" x14ac:dyDescent="0.2">
      <c r="A367">
        <v>1060</v>
      </c>
      <c r="B367">
        <f t="shared" si="39"/>
        <v>1.06</v>
      </c>
      <c r="C367">
        <f t="shared" si="42"/>
        <v>787</v>
      </c>
      <c r="D367" s="17">
        <f t="shared" si="45"/>
        <v>7.4092267694926259E-2</v>
      </c>
      <c r="E367" s="17">
        <f t="shared" si="45"/>
        <v>0.76990027269509476</v>
      </c>
      <c r="F367" s="17">
        <f t="shared" si="45"/>
        <v>2.1681456939111193E-2</v>
      </c>
      <c r="G367" s="17">
        <f t="shared" si="45"/>
        <v>3.3025786746291939E-2</v>
      </c>
      <c r="H367" s="17">
        <f t="shared" si="45"/>
        <v>5.4984953025621328E-2</v>
      </c>
    </row>
    <row r="368" spans="1:8" x14ac:dyDescent="0.2">
      <c r="A368">
        <v>1061</v>
      </c>
      <c r="B368">
        <f t="shared" si="39"/>
        <v>1.0609999999999999</v>
      </c>
      <c r="C368">
        <f t="shared" si="42"/>
        <v>788</v>
      </c>
      <c r="D368" s="17">
        <f t="shared" si="45"/>
        <v>7.4129199818192951E-2</v>
      </c>
      <c r="E368" s="17">
        <f t="shared" si="45"/>
        <v>0.77298559521897259</v>
      </c>
      <c r="F368" s="17">
        <f t="shared" si="45"/>
        <v>2.1701723352517879E-2</v>
      </c>
      <c r="G368" s="17">
        <f t="shared" si="45"/>
        <v>3.303117321295343E-2</v>
      </c>
      <c r="H368" s="17">
        <f t="shared" si="45"/>
        <v>5.4995727420086821E-2</v>
      </c>
    </row>
    <row r="369" spans="1:8" x14ac:dyDescent="0.2">
      <c r="A369">
        <v>1062</v>
      </c>
      <c r="B369">
        <f t="shared" si="39"/>
        <v>1.0620000000000001</v>
      </c>
      <c r="C369">
        <f t="shared" si="42"/>
        <v>789</v>
      </c>
      <c r="D369" s="17">
        <f t="shared" si="45"/>
        <v>7.4166087433614164E-2</v>
      </c>
      <c r="E369" s="17">
        <f t="shared" si="45"/>
        <v>0.77608029427790526</v>
      </c>
      <c r="F369" s="17">
        <f t="shared" si="45"/>
        <v>2.1721947723590568E-2</v>
      </c>
      <c r="G369" s="17">
        <f t="shared" si="45"/>
        <v>3.303655370061017E-2</v>
      </c>
      <c r="H369" s="17">
        <f t="shared" si="45"/>
        <v>5.5006484384307157E-2</v>
      </c>
    </row>
    <row r="370" spans="1:8" x14ac:dyDescent="0.2">
      <c r="A370">
        <v>1063</v>
      </c>
      <c r="B370">
        <f t="shared" si="39"/>
        <v>1.0629999999999999</v>
      </c>
      <c r="C370">
        <f t="shared" si="42"/>
        <v>790</v>
      </c>
      <c r="D370" s="17">
        <f t="shared" ref="D370:H379" si="46">(D$73+D$74*$B370+D$75*($B370^2)+D$76*($B370^3)+D$77/($B370^2))/1000</f>
        <v>7.4202930564282801E-2</v>
      </c>
      <c r="E370" s="17">
        <f t="shared" si="46"/>
        <v>0.77918438464876549</v>
      </c>
      <c r="F370" s="17">
        <f t="shared" si="46"/>
        <v>2.1742130213429051E-2</v>
      </c>
      <c r="G370" s="17">
        <f t="shared" si="46"/>
        <v>3.3041928208085436E-2</v>
      </c>
      <c r="H370" s="17">
        <f t="shared" si="46"/>
        <v>5.5017223968405901E-2</v>
      </c>
    </row>
    <row r="371" spans="1:8" x14ac:dyDescent="0.2">
      <c r="A371">
        <v>1064</v>
      </c>
      <c r="B371">
        <f t="shared" si="39"/>
        <v>1.0640000000000001</v>
      </c>
      <c r="C371">
        <f t="shared" si="42"/>
        <v>791</v>
      </c>
      <c r="D371" s="17">
        <f t="shared" si="46"/>
        <v>7.4239729233348525E-2</v>
      </c>
      <c r="E371" s="17">
        <f t="shared" si="46"/>
        <v>0.78229788110875143</v>
      </c>
      <c r="F371" s="17">
        <f t="shared" si="46"/>
        <v>2.1762270982298274E-2</v>
      </c>
      <c r="G371" s="17">
        <f t="shared" si="46"/>
        <v>3.3047296734246563E-2</v>
      </c>
      <c r="H371" s="17">
        <f t="shared" si="46"/>
        <v>5.5027946222495169E-2</v>
      </c>
    </row>
    <row r="372" spans="1:8" x14ac:dyDescent="0.2">
      <c r="A372">
        <v>1065</v>
      </c>
      <c r="B372">
        <f t="shared" si="39"/>
        <v>1.0649999999999999</v>
      </c>
      <c r="C372">
        <f t="shared" si="42"/>
        <v>792</v>
      </c>
      <c r="D372" s="17">
        <f t="shared" si="46"/>
        <v>7.427648346401744E-2</v>
      </c>
      <c r="E372" s="17">
        <f t="shared" si="46"/>
        <v>0.78542079843537937</v>
      </c>
      <c r="F372" s="17">
        <f t="shared" si="46"/>
        <v>2.1782370189633051E-2</v>
      </c>
      <c r="G372" s="17">
        <f t="shared" si="46"/>
        <v>3.3052659278004826E-2</v>
      </c>
      <c r="H372" s="17">
        <f t="shared" si="46"/>
        <v>5.5038651196675718E-2</v>
      </c>
    </row>
    <row r="373" spans="1:8" x14ac:dyDescent="0.2">
      <c r="A373">
        <v>1066</v>
      </c>
      <c r="B373">
        <f t="shared" si="39"/>
        <v>1.0660000000000001</v>
      </c>
      <c r="C373">
        <f t="shared" si="42"/>
        <v>793</v>
      </c>
      <c r="D373" s="17">
        <f t="shared" si="46"/>
        <v>7.4313193279551812E-2</v>
      </c>
      <c r="E373" s="17">
        <f t="shared" si="46"/>
        <v>0.78855315140648929</v>
      </c>
      <c r="F373" s="17">
        <f t="shared" si="46"/>
        <v>2.1802427994042729E-2</v>
      </c>
      <c r="G373" s="17">
        <f t="shared" si="46"/>
        <v>3.3058015838315108E-2</v>
      </c>
      <c r="H373" s="17">
        <f t="shared" si="46"/>
        <v>5.504933894103705E-2</v>
      </c>
    </row>
    <row r="374" spans="1:8" x14ac:dyDescent="0.2">
      <c r="A374">
        <v>1067</v>
      </c>
      <c r="B374">
        <f t="shared" si="39"/>
        <v>1.0669999999999999</v>
      </c>
      <c r="C374">
        <f t="shared" si="42"/>
        <v>794</v>
      </c>
      <c r="D374" s="17">
        <f t="shared" si="46"/>
        <v>7.4349858703269614E-2</v>
      </c>
      <c r="E374" s="17">
        <f t="shared" si="46"/>
        <v>0.79169495480023189</v>
      </c>
      <c r="F374" s="17">
        <f t="shared" si="46"/>
        <v>2.182244455331581E-2</v>
      </c>
      <c r="G374" s="17">
        <f t="shared" si="46"/>
        <v>3.306336641417567E-2</v>
      </c>
      <c r="H374" s="17">
        <f t="shared" si="46"/>
        <v>5.5060009505657349E-2</v>
      </c>
    </row>
    <row r="375" spans="1:8" x14ac:dyDescent="0.2">
      <c r="A375">
        <v>1068</v>
      </c>
      <c r="B375">
        <f t="shared" si="39"/>
        <v>1.0680000000000001</v>
      </c>
      <c r="C375">
        <f t="shared" si="42"/>
        <v>795</v>
      </c>
      <c r="D375" s="17">
        <f t="shared" si="46"/>
        <v>7.4386479758544427E-2</v>
      </c>
      <c r="E375" s="17">
        <f t="shared" si="46"/>
        <v>0.79484622339507749</v>
      </c>
      <c r="F375" s="17">
        <f t="shared" si="46"/>
        <v>2.1842420024424613E-2</v>
      </c>
      <c r="G375" s="17">
        <f t="shared" si="46"/>
        <v>3.3068711004627972E-2</v>
      </c>
      <c r="H375" s="17">
        <f t="shared" si="46"/>
        <v>5.5070662940603705E-2</v>
      </c>
    </row>
    <row r="376" spans="1:8" x14ac:dyDescent="0.2">
      <c r="A376">
        <v>1069</v>
      </c>
      <c r="B376">
        <f t="shared" si="39"/>
        <v>1.069</v>
      </c>
      <c r="C376">
        <f t="shared" si="42"/>
        <v>796</v>
      </c>
      <c r="D376" s="17">
        <f t="shared" si="46"/>
        <v>7.4423056468804927E-2</v>
      </c>
      <c r="E376" s="17">
        <f t="shared" si="46"/>
        <v>0.79800697196980819</v>
      </c>
      <c r="F376" s="17">
        <f t="shared" si="46"/>
        <v>2.1862354563529786E-2</v>
      </c>
      <c r="G376" s="17">
        <f t="shared" si="46"/>
        <v>3.3074049608756297E-2</v>
      </c>
      <c r="H376" s="17">
        <f t="shared" si="46"/>
        <v>5.5081299295932015E-2</v>
      </c>
    </row>
    <row r="377" spans="1:8" x14ac:dyDescent="0.2">
      <c r="A377">
        <v>1070</v>
      </c>
      <c r="B377">
        <f t="shared" si="39"/>
        <v>1.07</v>
      </c>
      <c r="C377">
        <f t="shared" si="42"/>
        <v>797</v>
      </c>
      <c r="D377" s="17">
        <f t="shared" si="46"/>
        <v>7.4459588857534703E-2</v>
      </c>
      <c r="E377" s="17">
        <f t="shared" si="46"/>
        <v>0.80117721530351904</v>
      </c>
      <c r="F377" s="17">
        <f t="shared" si="46"/>
        <v>2.1882248325984913E-2</v>
      </c>
      <c r="G377" s="17">
        <f t="shared" si="46"/>
        <v>3.3079382225687674E-2</v>
      </c>
      <c r="H377" s="17">
        <f t="shared" si="46"/>
        <v>5.5091918621687212E-2</v>
      </c>
    </row>
    <row r="378" spans="1:8" x14ac:dyDescent="0.2">
      <c r="A378">
        <v>1071</v>
      </c>
      <c r="B378">
        <f t="shared" si="39"/>
        <v>1.071</v>
      </c>
      <c r="C378">
        <f t="shared" si="42"/>
        <v>798</v>
      </c>
      <c r="D378" s="17">
        <f t="shared" si="46"/>
        <v>7.44960769482719E-2</v>
      </c>
      <c r="E378" s="17">
        <f t="shared" si="46"/>
        <v>0.80435696817561353</v>
      </c>
      <c r="F378" s="17">
        <f t="shared" si="46"/>
        <v>2.1902101466340987E-2</v>
      </c>
      <c r="G378" s="17">
        <f t="shared" si="46"/>
        <v>3.3084708854591506E-2</v>
      </c>
      <c r="H378" s="17">
        <f t="shared" si="46"/>
        <v>5.5102520967903162E-2</v>
      </c>
    </row>
    <row r="379" spans="1:8" x14ac:dyDescent="0.2">
      <c r="A379">
        <v>1072</v>
      </c>
      <c r="B379">
        <f t="shared" si="39"/>
        <v>1.0720000000000001</v>
      </c>
      <c r="C379">
        <f t="shared" si="42"/>
        <v>799</v>
      </c>
      <c r="D379" s="17">
        <f t="shared" si="46"/>
        <v>7.4532520764608937E-2</v>
      </c>
      <c r="E379" s="17">
        <f t="shared" si="46"/>
        <v>0.80754624536580522</v>
      </c>
      <c r="F379" s="17">
        <f t="shared" si="46"/>
        <v>2.1921914138350949E-2</v>
      </c>
      <c r="G379" s="17">
        <f t="shared" si="46"/>
        <v>3.3090029494679395E-2</v>
      </c>
      <c r="H379" s="17">
        <f t="shared" si="46"/>
        <v>5.5113106384602886E-2</v>
      </c>
    </row>
    <row r="380" spans="1:8" x14ac:dyDescent="0.2">
      <c r="A380">
        <v>1073</v>
      </c>
      <c r="B380">
        <f t="shared" si="39"/>
        <v>1.073</v>
      </c>
      <c r="C380">
        <f t="shared" si="42"/>
        <v>800</v>
      </c>
      <c r="D380" s="17">
        <f t="shared" ref="D380:H389" si="47">(D$73+D$74*$B380+D$75*($B380^2)+D$76*($B380^3)+D$77/($B380^2))/1000</f>
        <v>7.4568920330192162E-2</v>
      </c>
      <c r="E380" s="17">
        <f t="shared" si="47"/>
        <v>0.81074506165411286</v>
      </c>
      <c r="F380" s="17">
        <f t="shared" si="47"/>
        <v>2.1941686494974071E-2</v>
      </c>
      <c r="G380" s="17">
        <f t="shared" si="47"/>
        <v>3.3095344145204902E-2</v>
      </c>
      <c r="H380" s="17">
        <f t="shared" si="47"/>
        <v>5.5123674921798461E-2</v>
      </c>
    </row>
    <row r="381" spans="1:8" x14ac:dyDescent="0.2">
      <c r="A381">
        <v>1074</v>
      </c>
      <c r="B381">
        <f t="shared" si="39"/>
        <v>1.0740000000000001</v>
      </c>
      <c r="C381">
        <f t="shared" si="42"/>
        <v>801</v>
      </c>
      <c r="D381" s="17">
        <f t="shared" si="47"/>
        <v>7.4605275668721535E-2</v>
      </c>
      <c r="E381" s="17">
        <f t="shared" si="47"/>
        <v>0.81395343182086044</v>
      </c>
      <c r="F381" s="17">
        <f t="shared" si="47"/>
        <v>2.1961418688380491E-2</v>
      </c>
      <c r="G381" s="17">
        <f t="shared" si="47"/>
        <v>3.3100652805463315E-2</v>
      </c>
      <c r="H381" s="17">
        <f t="shared" si="47"/>
        <v>5.5134226629491231E-2</v>
      </c>
    </row>
    <row r="382" spans="1:8" x14ac:dyDescent="0.2">
      <c r="A382">
        <v>1075</v>
      </c>
      <c r="B382">
        <f t="shared" si="39"/>
        <v>1.075</v>
      </c>
      <c r="C382">
        <f t="shared" si="42"/>
        <v>802</v>
      </c>
      <c r="D382" s="17">
        <f t="shared" si="47"/>
        <v>7.4641586803950458E-2</v>
      </c>
      <c r="E382" s="17">
        <f t="shared" si="47"/>
        <v>0.81717137064667578</v>
      </c>
      <c r="F382" s="17">
        <f t="shared" si="47"/>
        <v>2.1981110869955536E-2</v>
      </c>
      <c r="G382" s="17">
        <f t="shared" si="47"/>
        <v>3.3105955474791372E-2</v>
      </c>
      <c r="H382" s="17">
        <f t="shared" si="47"/>
        <v>5.5144761557671722E-2</v>
      </c>
    </row>
    <row r="383" spans="1:8" x14ac:dyDescent="0.2">
      <c r="A383">
        <v>1076</v>
      </c>
      <c r="B383">
        <f t="shared" si="39"/>
        <v>1.0760000000000001</v>
      </c>
      <c r="C383">
        <f t="shared" si="42"/>
        <v>803</v>
      </c>
      <c r="D383" s="17">
        <f t="shared" si="47"/>
        <v>7.4677853759685428E-2</v>
      </c>
      <c r="E383" s="17">
        <f t="shared" si="47"/>
        <v>0.8203988929124868</v>
      </c>
      <c r="F383" s="17">
        <f t="shared" si="47"/>
        <v>2.2000763190304119E-2</v>
      </c>
      <c r="G383" s="17">
        <f t="shared" si="47"/>
        <v>3.3111252152567099E-2</v>
      </c>
      <c r="H383" s="17">
        <f t="shared" si="47"/>
        <v>5.5155279756319849E-2</v>
      </c>
    </row>
    <row r="384" spans="1:8" x14ac:dyDescent="0.2">
      <c r="A384">
        <v>1077</v>
      </c>
      <c r="B384">
        <f t="shared" ref="B384:B431" si="48">A384/1000</f>
        <v>1.077</v>
      </c>
      <c r="C384">
        <f t="shared" si="42"/>
        <v>804</v>
      </c>
      <c r="D384" s="17">
        <f t="shared" si="47"/>
        <v>7.4714076559785514E-2</v>
      </c>
      <c r="E384" s="17">
        <f t="shared" si="47"/>
        <v>0.82363601339952186</v>
      </c>
      <c r="F384" s="17">
        <f t="shared" si="47"/>
        <v>2.2020375799255094E-2</v>
      </c>
      <c r="G384" s="17">
        <f t="shared" si="47"/>
        <v>3.3116542838209535E-2</v>
      </c>
      <c r="H384" s="17">
        <f t="shared" si="47"/>
        <v>5.5165781275404849E-2</v>
      </c>
    </row>
    <row r="385" spans="1:8" x14ac:dyDescent="0.2">
      <c r="A385">
        <v>1078</v>
      </c>
      <c r="B385">
        <f t="shared" si="48"/>
        <v>1.0780000000000001</v>
      </c>
      <c r="C385">
        <f t="shared" si="42"/>
        <v>805</v>
      </c>
      <c r="D385" s="17">
        <f t="shared" si="47"/>
        <v>7.475025522816249E-2</v>
      </c>
      <c r="E385" s="17">
        <f t="shared" si="47"/>
        <v>0.82688274688930774</v>
      </c>
      <c r="F385" s="17">
        <f t="shared" si="47"/>
        <v>2.2039948845865565E-2</v>
      </c>
      <c r="G385" s="17">
        <f t="shared" si="47"/>
        <v>3.312182753117851E-2</v>
      </c>
      <c r="H385" s="17">
        <f t="shared" si="47"/>
        <v>5.517626616488544E-2</v>
      </c>
    </row>
    <row r="386" spans="1:8" x14ac:dyDescent="0.2">
      <c r="A386">
        <v>1079</v>
      </c>
      <c r="B386">
        <f t="shared" si="48"/>
        <v>1.079</v>
      </c>
      <c r="C386">
        <f t="shared" si="42"/>
        <v>806</v>
      </c>
      <c r="D386" s="17">
        <f t="shared" si="47"/>
        <v>7.4786389788780105E-2</v>
      </c>
      <c r="E386" s="17">
        <f t="shared" si="47"/>
        <v>0.83013910816366754</v>
      </c>
      <c r="F386" s="17">
        <f t="shared" si="47"/>
        <v>2.2059482478425197E-2</v>
      </c>
      <c r="G386" s="17">
        <f t="shared" si="47"/>
        <v>3.3127106230974424E-2</v>
      </c>
      <c r="H386" s="17">
        <f t="shared" si="47"/>
        <v>5.5186734474709766E-2</v>
      </c>
    </row>
    <row r="387" spans="1:8" x14ac:dyDescent="0.2">
      <c r="A387">
        <v>1080</v>
      </c>
      <c r="B387">
        <f t="shared" si="48"/>
        <v>1.08</v>
      </c>
      <c r="C387">
        <f t="shared" si="42"/>
        <v>807</v>
      </c>
      <c r="D387" s="17">
        <f t="shared" si="47"/>
        <v>7.4822480265654065E-2</v>
      </c>
      <c r="E387" s="17">
        <f t="shared" si="47"/>
        <v>0.83340511200471912</v>
      </c>
      <c r="F387" s="17">
        <f t="shared" si="47"/>
        <v>2.2078976844460425E-2</v>
      </c>
      <c r="G387" s="17">
        <f t="shared" si="47"/>
        <v>3.3132378937138038E-2</v>
      </c>
      <c r="H387" s="17">
        <f t="shared" si="47"/>
        <v>5.5197186254815622E-2</v>
      </c>
    </row>
    <row r="388" spans="1:8" x14ac:dyDescent="0.2">
      <c r="A388">
        <v>1081</v>
      </c>
      <c r="B388">
        <f t="shared" si="48"/>
        <v>1.081</v>
      </c>
      <c r="C388">
        <f t="shared" si="42"/>
        <v>808</v>
      </c>
      <c r="D388" s="17">
        <f t="shared" si="47"/>
        <v>7.4858526682851784E-2</v>
      </c>
      <c r="E388" s="17">
        <f t="shared" si="47"/>
        <v>0.83668077319487233</v>
      </c>
      <c r="F388" s="17">
        <f t="shared" si="47"/>
        <v>2.2098432090738741E-2</v>
      </c>
      <c r="G388" s="17">
        <f t="shared" si="47"/>
        <v>3.3137645649250209E-2</v>
      </c>
      <c r="H388" s="17">
        <f t="shared" si="47"/>
        <v>5.5207621555130287E-2</v>
      </c>
    </row>
    <row r="389" spans="1:8" x14ac:dyDescent="0.2">
      <c r="A389">
        <v>1082</v>
      </c>
      <c r="B389">
        <f t="shared" si="48"/>
        <v>1.0820000000000001</v>
      </c>
      <c r="C389">
        <f t="shared" si="42"/>
        <v>809</v>
      </c>
      <c r="D389" s="17">
        <f t="shared" si="47"/>
        <v>7.4894529064491816E-2</v>
      </c>
      <c r="E389" s="17">
        <f t="shared" si="47"/>
        <v>0.83996610651683223</v>
      </c>
      <c r="F389" s="17">
        <f t="shared" si="47"/>
        <v>2.2117848363272855E-2</v>
      </c>
      <c r="G389" s="17">
        <f t="shared" si="47"/>
        <v>3.31429063669317E-2</v>
      </c>
      <c r="H389" s="17">
        <f t="shared" si="47"/>
        <v>5.5218040425570838E-2</v>
      </c>
    </row>
    <row r="390" spans="1:8" x14ac:dyDescent="0.2">
      <c r="A390">
        <v>1083</v>
      </c>
      <c r="B390">
        <f t="shared" si="48"/>
        <v>1.083</v>
      </c>
      <c r="C390">
        <f t="shared" si="42"/>
        <v>810</v>
      </c>
      <c r="D390" s="17">
        <f t="shared" ref="D390:H399" si="49">(D$73+D$74*$B390+D$75*($B390^2)+D$76*($B390^3)+D$77/($B390^2))/1000</f>
        <v>7.4930487434743898E-2</v>
      </c>
      <c r="E390" s="17">
        <f t="shared" si="49"/>
        <v>0.84326112675358811</v>
      </c>
      <c r="F390" s="17">
        <f t="shared" si="49"/>
        <v>2.213722580732496E-2</v>
      </c>
      <c r="G390" s="17">
        <f t="shared" si="49"/>
        <v>3.3148161089842948E-2</v>
      </c>
      <c r="H390" s="17">
        <f t="shared" si="49"/>
        <v>5.5228442916043965E-2</v>
      </c>
    </row>
    <row r="391" spans="1:8" x14ac:dyDescent="0.2">
      <c r="A391">
        <v>1084</v>
      </c>
      <c r="B391">
        <f t="shared" si="48"/>
        <v>1.0840000000000001</v>
      </c>
      <c r="C391">
        <f t="shared" si="42"/>
        <v>811</v>
      </c>
      <c r="D391" s="17">
        <f t="shared" si="49"/>
        <v>7.4966401817828376E-2</v>
      </c>
      <c r="E391" s="17">
        <f t="shared" si="49"/>
        <v>0.84656584868842322</v>
      </c>
      <c r="F391" s="17">
        <f t="shared" si="49"/>
        <v>2.2156564567410768E-2</v>
      </c>
      <c r="G391" s="17">
        <f t="shared" si="49"/>
        <v>3.3153409817683853E-2</v>
      </c>
      <c r="H391" s="17">
        <f t="shared" si="49"/>
        <v>5.5238829076446228E-2</v>
      </c>
    </row>
    <row r="392" spans="1:8" x14ac:dyDescent="0.2">
      <c r="A392">
        <v>1085</v>
      </c>
      <c r="B392">
        <f t="shared" si="48"/>
        <v>1.085</v>
      </c>
      <c r="C392">
        <f t="shared" si="42"/>
        <v>812</v>
      </c>
      <c r="D392" s="17">
        <f t="shared" si="49"/>
        <v>7.5002272238016129E-2</v>
      </c>
      <c r="E392" s="17">
        <f t="shared" si="49"/>
        <v>0.8498802871049026</v>
      </c>
      <c r="F392" s="17">
        <f t="shared" si="49"/>
        <v>2.2175864787303708E-2</v>
      </c>
      <c r="G392" s="17">
        <f t="shared" si="49"/>
        <v>3.3158652550193568E-2</v>
      </c>
      <c r="H392" s="17">
        <f t="shared" si="49"/>
        <v>5.524919895666397E-2</v>
      </c>
    </row>
    <row r="393" spans="1:8" x14ac:dyDescent="0.2">
      <c r="A393">
        <v>1086</v>
      </c>
      <c r="B393">
        <f t="shared" si="48"/>
        <v>1.0860000000000001</v>
      </c>
      <c r="C393">
        <f t="shared" si="42"/>
        <v>813</v>
      </c>
      <c r="D393" s="17">
        <f t="shared" si="49"/>
        <v>7.5038098719628285E-2</v>
      </c>
      <c r="E393" s="17">
        <f t="shared" si="49"/>
        <v>0.85320445678688073</v>
      </c>
      <c r="F393" s="17">
        <f t="shared" si="49"/>
        <v>2.2195126610039025E-2</v>
      </c>
      <c r="G393" s="17">
        <f t="shared" si="49"/>
        <v>3.3163889287150229E-2</v>
      </c>
      <c r="H393" s="17">
        <f t="shared" si="49"/>
        <v>5.525955260657342E-2</v>
      </c>
    </row>
    <row r="394" spans="1:8" x14ac:dyDescent="0.2">
      <c r="A394">
        <v>1087</v>
      </c>
      <c r="B394">
        <f t="shared" si="48"/>
        <v>1.087</v>
      </c>
      <c r="C394">
        <f t="shared" si="42"/>
        <v>814</v>
      </c>
      <c r="D394" s="17">
        <f t="shared" si="49"/>
        <v>7.5073881287035765E-2</v>
      </c>
      <c r="E394" s="17">
        <f t="shared" si="49"/>
        <v>0.85653837251849319</v>
      </c>
      <c r="F394" s="17">
        <f t="shared" si="49"/>
        <v>2.221435017791782E-2</v>
      </c>
      <c r="G394" s="17">
        <f t="shared" si="49"/>
        <v>3.3169120028370816E-2</v>
      </c>
      <c r="H394" s="17">
        <f t="shared" si="49"/>
        <v>5.5269890076040828E-2</v>
      </c>
    </row>
    <row r="395" spans="1:8" x14ac:dyDescent="0.2">
      <c r="A395">
        <v>1088</v>
      </c>
      <c r="B395">
        <f t="shared" si="48"/>
        <v>1.0880000000000001</v>
      </c>
      <c r="C395">
        <f t="shared" si="42"/>
        <v>815</v>
      </c>
      <c r="D395" s="17">
        <f t="shared" si="49"/>
        <v>7.5109619964659188E-2</v>
      </c>
      <c r="E395" s="17">
        <f t="shared" si="49"/>
        <v>0.85988204908415855</v>
      </c>
      <c r="F395" s="17">
        <f t="shared" si="49"/>
        <v>2.2233535632511129E-2</v>
      </c>
      <c r="G395" s="17">
        <f t="shared" si="49"/>
        <v>3.3174344773710895E-2</v>
      </c>
      <c r="H395" s="17">
        <f t="shared" si="49"/>
        <v>5.5280211414922363E-2</v>
      </c>
    </row>
    <row r="396" spans="1:8" x14ac:dyDescent="0.2">
      <c r="A396">
        <v>1089</v>
      </c>
      <c r="B396">
        <f t="shared" si="48"/>
        <v>1.089</v>
      </c>
      <c r="C396">
        <f t="shared" si="42"/>
        <v>816</v>
      </c>
      <c r="D396" s="17">
        <f t="shared" si="49"/>
        <v>7.5145314776968564E-2</v>
      </c>
      <c r="E396" s="17">
        <f t="shared" si="49"/>
        <v>0.86323550126857485</v>
      </c>
      <c r="F396" s="17">
        <f t="shared" si="49"/>
        <v>2.2252683114663923E-2</v>
      </c>
      <c r="G396" s="17">
        <f t="shared" si="49"/>
        <v>3.3179563523064393E-2</v>
      </c>
      <c r="H396" s="17">
        <f t="shared" si="49"/>
        <v>5.5290516673064304E-2</v>
      </c>
    </row>
    <row r="397" spans="1:8" x14ac:dyDescent="0.2">
      <c r="A397">
        <v>1090</v>
      </c>
      <c r="B397">
        <f t="shared" si="48"/>
        <v>1.0900000000000001</v>
      </c>
      <c r="C397">
        <f t="shared" si="42"/>
        <v>817</v>
      </c>
      <c r="D397" s="17">
        <f t="shared" si="49"/>
        <v>7.5180965748482945E-2</v>
      </c>
      <c r="E397" s="17">
        <f t="shared" si="49"/>
        <v>0.86659874385672098</v>
      </c>
      <c r="F397" s="17">
        <f t="shared" si="49"/>
        <v>2.2271792764499098E-2</v>
      </c>
      <c r="G397" s="17">
        <f t="shared" si="49"/>
        <v>3.3184776276363438E-2</v>
      </c>
      <c r="H397" s="17">
        <f t="shared" si="49"/>
        <v>5.5300805900303042E-2</v>
      </c>
    </row>
    <row r="398" spans="1:8" x14ac:dyDescent="0.2">
      <c r="A398">
        <v>1091</v>
      </c>
      <c r="B398">
        <f t="shared" si="48"/>
        <v>1.091</v>
      </c>
      <c r="C398">
        <f t="shared" si="42"/>
        <v>818</v>
      </c>
      <c r="D398" s="17">
        <f t="shared" si="49"/>
        <v>7.5216572903770165E-2</v>
      </c>
      <c r="E398" s="17">
        <f t="shared" si="49"/>
        <v>0.86997179163384908</v>
      </c>
      <c r="F398" s="17">
        <f t="shared" si="49"/>
        <v>2.2290864721421472E-2</v>
      </c>
      <c r="G398" s="17">
        <f t="shared" si="49"/>
        <v>3.3189983033578063E-2</v>
      </c>
      <c r="H398" s="17">
        <f t="shared" si="49"/>
        <v>5.5311079146465117E-2</v>
      </c>
    </row>
    <row r="399" spans="1:8" x14ac:dyDescent="0.2">
      <c r="A399">
        <v>1092</v>
      </c>
      <c r="B399">
        <f t="shared" si="48"/>
        <v>1.0920000000000001</v>
      </c>
      <c r="C399">
        <f t="shared" si="42"/>
        <v>819</v>
      </c>
      <c r="D399" s="17">
        <f t="shared" si="49"/>
        <v>7.525213626744677E-2</v>
      </c>
      <c r="E399" s="17">
        <f t="shared" si="49"/>
        <v>0.87335465938549395</v>
      </c>
      <c r="F399" s="17">
        <f t="shared" si="49"/>
        <v>2.2309899124121714E-2</v>
      </c>
      <c r="G399" s="17">
        <f t="shared" si="49"/>
        <v>3.3195183794716129E-2</v>
      </c>
      <c r="H399" s="17">
        <f t="shared" si="49"/>
        <v>5.5321336461367311E-2</v>
      </c>
    </row>
    <row r="400" spans="1:8" x14ac:dyDescent="0.2">
      <c r="A400">
        <v>1093</v>
      </c>
      <c r="B400">
        <f t="shared" si="48"/>
        <v>1.093</v>
      </c>
      <c r="C400">
        <f t="shared" si="42"/>
        <v>820</v>
      </c>
      <c r="D400" s="17">
        <f t="shared" ref="D400:H409" si="50">(D$73+D$74*$B400+D$75*($B400^2)+D$76*($B400^3)+D$77/($B400^2))/1000</f>
        <v>7.5287655864177377E-2</v>
      </c>
      <c r="E400" s="17">
        <f t="shared" si="50"/>
        <v>0.8767473618974575</v>
      </c>
      <c r="F400" s="17">
        <f t="shared" si="50"/>
        <v>2.232889611058024E-2</v>
      </c>
      <c r="G400" s="17">
        <f t="shared" si="50"/>
        <v>3.3200378559822989E-2</v>
      </c>
      <c r="H400" s="17">
        <f t="shared" si="50"/>
        <v>5.5331577894816672E-2</v>
      </c>
    </row>
    <row r="401" spans="1:8" x14ac:dyDescent="0.2">
      <c r="A401">
        <v>1094</v>
      </c>
      <c r="B401">
        <f t="shared" si="48"/>
        <v>1.0940000000000001</v>
      </c>
      <c r="C401">
        <f t="shared" si="42"/>
        <v>821</v>
      </c>
      <c r="D401" s="17">
        <f t="shared" si="50"/>
        <v>7.5323131718674829E-2</v>
      </c>
      <c r="E401" s="17">
        <f t="shared" si="50"/>
        <v>0.88014991395581854</v>
      </c>
      <c r="F401" s="17">
        <f t="shared" si="50"/>
        <v>2.2347855818071152E-2</v>
      </c>
      <c r="G401" s="17">
        <f t="shared" si="50"/>
        <v>3.3205567328981341E-2</v>
      </c>
      <c r="H401" s="17">
        <f t="shared" si="50"/>
        <v>5.5341803496610581E-2</v>
      </c>
    </row>
    <row r="402" spans="1:8" x14ac:dyDescent="0.2">
      <c r="A402">
        <v>1095</v>
      </c>
      <c r="B402">
        <f t="shared" si="48"/>
        <v>1.095</v>
      </c>
      <c r="C402">
        <f t="shared" ref="C402:C431" si="51">A402-273</f>
        <v>822</v>
      </c>
      <c r="D402" s="17">
        <f t="shared" si="50"/>
        <v>7.5358563855699556E-2</v>
      </c>
      <c r="E402" s="17">
        <f t="shared" si="50"/>
        <v>0.88356233034692666</v>
      </c>
      <c r="F402" s="17">
        <f t="shared" si="50"/>
        <v>2.2366778383166051E-2</v>
      </c>
      <c r="G402" s="17">
        <f t="shared" si="50"/>
        <v>3.3210750102311018E-2</v>
      </c>
      <c r="H402" s="17">
        <f t="shared" si="50"/>
        <v>5.5352013316536809E-2</v>
      </c>
    </row>
    <row r="403" spans="1:8" x14ac:dyDescent="0.2">
      <c r="A403">
        <v>1096</v>
      </c>
      <c r="B403">
        <f t="shared" si="48"/>
        <v>1.0960000000000001</v>
      </c>
      <c r="C403">
        <f t="shared" si="51"/>
        <v>823</v>
      </c>
      <c r="D403" s="17">
        <f t="shared" si="50"/>
        <v>7.5393952300059644E-2</v>
      </c>
      <c r="E403" s="17">
        <f t="shared" si="50"/>
        <v>0.88698462585740168</v>
      </c>
      <c r="F403" s="17">
        <f t="shared" si="50"/>
        <v>2.2385663941737945E-2</v>
      </c>
      <c r="G403" s="17">
        <f t="shared" si="50"/>
        <v>3.3215926879968792E-2</v>
      </c>
      <c r="H403" s="17">
        <f t="shared" si="50"/>
        <v>5.5362207404373538E-2</v>
      </c>
    </row>
    <row r="404" spans="1:8" x14ac:dyDescent="0.2">
      <c r="A404">
        <v>1097</v>
      </c>
      <c r="B404">
        <f t="shared" si="48"/>
        <v>1.097</v>
      </c>
      <c r="C404">
        <f t="shared" si="51"/>
        <v>824</v>
      </c>
      <c r="D404" s="17">
        <f t="shared" si="50"/>
        <v>7.542929707661028E-2</v>
      </c>
      <c r="E404" s="17">
        <f t="shared" si="50"/>
        <v>0.89041681527413064</v>
      </c>
      <c r="F404" s="17">
        <f t="shared" si="50"/>
        <v>2.240451262896501E-2</v>
      </c>
      <c r="G404" s="17">
        <f t="shared" si="50"/>
        <v>3.3221097662148161E-2</v>
      </c>
      <c r="H404" s="17">
        <f t="shared" si="50"/>
        <v>5.5372385809889499E-2</v>
      </c>
    </row>
    <row r="405" spans="1:8" x14ac:dyDescent="0.2">
      <c r="A405">
        <v>1098</v>
      </c>
      <c r="B405">
        <f t="shared" si="48"/>
        <v>1.0980000000000001</v>
      </c>
      <c r="C405">
        <f t="shared" si="51"/>
        <v>825</v>
      </c>
      <c r="D405" s="17">
        <f t="shared" si="50"/>
        <v>7.5464598210253711E-2</v>
      </c>
      <c r="E405" s="17">
        <f t="shared" si="50"/>
        <v>0.89385891338426804</v>
      </c>
      <c r="F405" s="17">
        <f t="shared" si="50"/>
        <v>2.2423324579334426E-2</v>
      </c>
      <c r="G405" s="17">
        <f t="shared" si="50"/>
        <v>3.3226262449079148E-2</v>
      </c>
      <c r="H405" s="17">
        <f t="shared" si="50"/>
        <v>5.5382548582843874E-2</v>
      </c>
    </row>
    <row r="406" spans="1:8" x14ac:dyDescent="0.2">
      <c r="A406">
        <v>1099</v>
      </c>
      <c r="B406">
        <f t="shared" si="48"/>
        <v>1.099</v>
      </c>
      <c r="C406">
        <f t="shared" si="51"/>
        <v>826</v>
      </c>
      <c r="D406" s="17">
        <f t="shared" si="50"/>
        <v>7.5499855725938855E-2</v>
      </c>
      <c r="E406" s="17">
        <f t="shared" si="50"/>
        <v>0.89731093497523251</v>
      </c>
      <c r="F406" s="17">
        <f t="shared" si="50"/>
        <v>2.2442099926646114E-2</v>
      </c>
      <c r="G406" s="17">
        <f t="shared" si="50"/>
        <v>3.3231421241028104E-2</v>
      </c>
      <c r="H406" s="17">
        <f t="shared" si="50"/>
        <v>5.5392695772986514E-2</v>
      </c>
    </row>
    <row r="407" spans="1:8" x14ac:dyDescent="0.2">
      <c r="A407">
        <v>1100</v>
      </c>
      <c r="B407">
        <f t="shared" si="48"/>
        <v>1.1000000000000001</v>
      </c>
      <c r="C407">
        <f t="shared" si="51"/>
        <v>827</v>
      </c>
      <c r="D407" s="17">
        <f t="shared" si="50"/>
        <v>7.5535069648661149E-2</v>
      </c>
      <c r="E407" s="17">
        <f t="shared" si="50"/>
        <v>0.90077289483471168</v>
      </c>
      <c r="F407" s="17">
        <f t="shared" si="50"/>
        <v>2.2460838804016531E-2</v>
      </c>
      <c r="G407" s="17">
        <f t="shared" si="50"/>
        <v>3.3236574038297523E-2</v>
      </c>
      <c r="H407" s="17">
        <f t="shared" si="50"/>
        <v>5.5402827430057852E-2</v>
      </c>
    </row>
    <row r="408" spans="1:8" x14ac:dyDescent="0.2">
      <c r="A408">
        <v>1101</v>
      </c>
      <c r="B408">
        <f t="shared" si="48"/>
        <v>1.101</v>
      </c>
      <c r="C408">
        <f t="shared" si="51"/>
        <v>828</v>
      </c>
      <c r="D408" s="17">
        <f t="shared" si="50"/>
        <v>7.5570240003462255E-2</v>
      </c>
      <c r="E408" s="17">
        <f t="shared" si="50"/>
        <v>0.90424480775064742</v>
      </c>
      <c r="F408" s="17">
        <f t="shared" si="50"/>
        <v>2.2479541343882324E-2</v>
      </c>
      <c r="G408" s="17">
        <f t="shared" si="50"/>
        <v>3.32417208412258E-2</v>
      </c>
      <c r="H408" s="17">
        <f t="shared" si="50"/>
        <v>5.541294360378908E-2</v>
      </c>
    </row>
    <row r="409" spans="1:8" x14ac:dyDescent="0.2">
      <c r="A409">
        <v>1102</v>
      </c>
      <c r="B409">
        <f t="shared" si="48"/>
        <v>1.1020000000000001</v>
      </c>
      <c r="C409">
        <f t="shared" si="51"/>
        <v>829</v>
      </c>
      <c r="D409" s="17">
        <f t="shared" si="50"/>
        <v>7.5605366815429703E-2</v>
      </c>
      <c r="E409" s="17">
        <f t="shared" si="50"/>
        <v>0.9077266885112516</v>
      </c>
      <c r="F409" s="17">
        <f t="shared" si="50"/>
        <v>2.24982076780041E-2</v>
      </c>
      <c r="G409" s="17">
        <f t="shared" si="50"/>
        <v>3.3246861650187108E-2</v>
      </c>
      <c r="H409" s="17">
        <f t="shared" si="50"/>
        <v>5.5423044343902064E-2</v>
      </c>
    </row>
    <row r="410" spans="1:8" x14ac:dyDescent="0.2">
      <c r="A410">
        <v>1103</v>
      </c>
      <c r="B410">
        <f t="shared" si="48"/>
        <v>1.103</v>
      </c>
      <c r="C410">
        <f t="shared" si="51"/>
        <v>830</v>
      </c>
      <c r="D410" s="17">
        <f t="shared" ref="D410:H419" si="52">(D$73+D$74*$B410+D$75*($B410^2)+D$76*($B410^3)+D$77/($B410^2))/1000</f>
        <v>7.5640450109696875E-2</v>
      </c>
      <c r="E410" s="17">
        <f t="shared" si="52"/>
        <v>0.91121855190498902</v>
      </c>
      <c r="F410" s="17">
        <f t="shared" si="52"/>
        <v>2.2516837937470051E-2</v>
      </c>
      <c r="G410" s="17">
        <f t="shared" si="52"/>
        <v>3.3251996465591141E-2</v>
      </c>
      <c r="H410" s="17">
        <f t="shared" si="52"/>
        <v>5.5433129700109537E-2</v>
      </c>
    </row>
    <row r="411" spans="1:8" x14ac:dyDescent="0.2">
      <c r="A411">
        <v>1104</v>
      </c>
      <c r="B411">
        <f t="shared" si="48"/>
        <v>1.1040000000000001</v>
      </c>
      <c r="C411">
        <f t="shared" si="51"/>
        <v>831</v>
      </c>
      <c r="D411" s="17">
        <f t="shared" si="52"/>
        <v>7.5675489911442503E-2</v>
      </c>
      <c r="E411" s="17">
        <f t="shared" si="52"/>
        <v>0.91472041272058613</v>
      </c>
      <c r="F411" s="17">
        <f t="shared" si="52"/>
        <v>2.253543225269963E-2</v>
      </c>
      <c r="G411" s="17">
        <f t="shared" si="52"/>
        <v>3.3257125287882945E-2</v>
      </c>
      <c r="H411" s="17">
        <f t="shared" si="52"/>
        <v>5.5443199722115019E-2</v>
      </c>
    </row>
    <row r="412" spans="1:8" x14ac:dyDescent="0.2">
      <c r="A412">
        <v>1105</v>
      </c>
      <c r="B412">
        <f t="shared" si="48"/>
        <v>1.105</v>
      </c>
      <c r="C412">
        <f t="shared" si="51"/>
        <v>832</v>
      </c>
      <c r="D412" s="17">
        <f t="shared" si="52"/>
        <v>7.5710486245890565E-2</v>
      </c>
      <c r="E412" s="17">
        <f t="shared" si="52"/>
        <v>0.91823228574702676</v>
      </c>
      <c r="F412" s="17">
        <f t="shared" si="52"/>
        <v>2.2553990753447183E-2</v>
      </c>
      <c r="G412" s="17">
        <f t="shared" si="52"/>
        <v>3.3262248117542748E-2</v>
      </c>
      <c r="H412" s="17">
        <f t="shared" si="52"/>
        <v>5.5453254459612952E-2</v>
      </c>
    </row>
    <row r="413" spans="1:8" x14ac:dyDescent="0.2">
      <c r="A413">
        <v>1106</v>
      </c>
      <c r="B413">
        <f t="shared" si="48"/>
        <v>1.1060000000000001</v>
      </c>
      <c r="C413">
        <f t="shared" si="51"/>
        <v>833</v>
      </c>
      <c r="D413" s="17">
        <f t="shared" si="52"/>
        <v>7.5745439138310069E-2</v>
      </c>
      <c r="E413" s="17">
        <f t="shared" si="52"/>
        <v>0.92175418577354751</v>
      </c>
      <c r="F413" s="17">
        <f t="shared" si="52"/>
        <v>2.257251356880554E-2</v>
      </c>
      <c r="G413" s="17">
        <f t="shared" si="52"/>
        <v>3.3267364955085699E-2</v>
      </c>
      <c r="H413" s="17">
        <f t="shared" si="52"/>
        <v>5.5463293962288711E-2</v>
      </c>
    </row>
    <row r="414" spans="1:8" x14ac:dyDescent="0.2">
      <c r="A414">
        <v>1107</v>
      </c>
      <c r="B414">
        <f t="shared" si="48"/>
        <v>1.107</v>
      </c>
      <c r="C414">
        <f t="shared" si="51"/>
        <v>834</v>
      </c>
      <c r="D414" s="17">
        <f t="shared" si="52"/>
        <v>7.5780348614014711E-2</v>
      </c>
      <c r="E414" s="17">
        <f t="shared" si="52"/>
        <v>0.92528612758964068</v>
      </c>
      <c r="F414" s="17">
        <f t="shared" si="52"/>
        <v>2.2591000827209613E-2</v>
      </c>
      <c r="G414" s="17">
        <f t="shared" si="52"/>
        <v>3.3272475801061775E-2</v>
      </c>
      <c r="H414" s="17">
        <f t="shared" si="52"/>
        <v>5.5473318279818669E-2</v>
      </c>
    </row>
    <row r="415" spans="1:8" x14ac:dyDescent="0.2">
      <c r="A415">
        <v>1108</v>
      </c>
      <c r="B415">
        <f t="shared" si="48"/>
        <v>1.1080000000000001</v>
      </c>
      <c r="C415">
        <f t="shared" si="51"/>
        <v>835</v>
      </c>
      <c r="D415" s="17">
        <f t="shared" si="52"/>
        <v>7.5815214698362665E-2</v>
      </c>
      <c r="E415" s="17">
        <f t="shared" si="52"/>
        <v>0.92882812598505393</v>
      </c>
      <c r="F415" s="17">
        <f t="shared" si="52"/>
        <v>2.2609452656439964E-2</v>
      </c>
      <c r="G415" s="17">
        <f t="shared" si="52"/>
        <v>3.3277580656055496E-2</v>
      </c>
      <c r="H415" s="17">
        <f t="shared" si="52"/>
        <v>5.5483327461870249E-2</v>
      </c>
    </row>
    <row r="416" spans="1:8" x14ac:dyDescent="0.2">
      <c r="A416">
        <v>1109</v>
      </c>
      <c r="B416">
        <f t="shared" si="48"/>
        <v>1.109</v>
      </c>
      <c r="C416">
        <f t="shared" si="51"/>
        <v>836</v>
      </c>
      <c r="D416" s="17">
        <f t="shared" si="52"/>
        <v>7.5850037416756361E-2</v>
      </c>
      <c r="E416" s="17">
        <f t="shared" si="52"/>
        <v>0.93238019574978082</v>
      </c>
      <c r="F416" s="17">
        <f t="shared" si="52"/>
        <v>2.2627869183626297E-2</v>
      </c>
      <c r="G416" s="17">
        <f t="shared" si="52"/>
        <v>3.3282679520685858E-2</v>
      </c>
      <c r="H416" s="17">
        <f t="shared" si="52"/>
        <v>5.5493321558101938E-2</v>
      </c>
    </row>
    <row r="417" spans="1:8" x14ac:dyDescent="0.2">
      <c r="A417">
        <v>1110</v>
      </c>
      <c r="B417">
        <f t="shared" si="48"/>
        <v>1.1100000000000001</v>
      </c>
      <c r="C417">
        <f t="shared" si="51"/>
        <v>837</v>
      </c>
      <c r="D417" s="17">
        <f t="shared" si="52"/>
        <v>7.5884816794642262E-2</v>
      </c>
      <c r="E417" s="17">
        <f t="shared" si="52"/>
        <v>0.93594235167406903</v>
      </c>
      <c r="F417" s="17">
        <f t="shared" si="52"/>
        <v>2.2646250535251034E-2</v>
      </c>
      <c r="G417" s="17">
        <f t="shared" si="52"/>
        <v>3.3287772395606E-2</v>
      </c>
      <c r="H417" s="17">
        <f t="shared" si="52"/>
        <v>5.5503300618163394E-2</v>
      </c>
    </row>
    <row r="418" spans="1:8" x14ac:dyDescent="0.2">
      <c r="A418">
        <v>1111</v>
      </c>
      <c r="B418">
        <f t="shared" si="48"/>
        <v>1.111</v>
      </c>
      <c r="C418">
        <f t="shared" si="51"/>
        <v>838</v>
      </c>
      <c r="D418" s="17">
        <f t="shared" si="52"/>
        <v>7.591955285751055E-2</v>
      </c>
      <c r="E418" s="17">
        <f t="shared" si="52"/>
        <v>0.93951460854841362</v>
      </c>
      <c r="F418" s="17">
        <f t="shared" si="52"/>
        <v>2.2664596837152801E-2</v>
      </c>
      <c r="G418" s="17">
        <f t="shared" si="52"/>
        <v>3.3292859281503114E-2</v>
      </c>
      <c r="H418" s="17">
        <f t="shared" si="52"/>
        <v>5.5513264691695458E-2</v>
      </c>
    </row>
    <row r="419" spans="1:8" x14ac:dyDescent="0.2">
      <c r="A419">
        <v>1112</v>
      </c>
      <c r="B419">
        <f t="shared" si="48"/>
        <v>1.1120000000000001</v>
      </c>
      <c r="C419">
        <f t="shared" si="51"/>
        <v>839</v>
      </c>
      <c r="D419" s="17">
        <f t="shared" si="52"/>
        <v>7.595424563089502E-2</v>
      </c>
      <c r="E419" s="17">
        <f t="shared" si="52"/>
        <v>0.94309698116355867</v>
      </c>
      <c r="F419" s="17">
        <f t="shared" si="52"/>
        <v>2.2682908214529847E-2</v>
      </c>
      <c r="G419" s="17">
        <f t="shared" si="52"/>
        <v>3.3297940179098276E-2</v>
      </c>
      <c r="H419" s="17">
        <f t="shared" si="52"/>
        <v>5.5523213828330156E-2</v>
      </c>
    </row>
    <row r="420" spans="1:8" x14ac:dyDescent="0.2">
      <c r="A420">
        <v>1113</v>
      </c>
      <c r="B420">
        <f t="shared" si="48"/>
        <v>1.113</v>
      </c>
      <c r="C420">
        <f t="shared" si="51"/>
        <v>840</v>
      </c>
      <c r="D420" s="17">
        <f t="shared" ref="D420:H431" si="53">(D$73+D$74*$B420+D$75*($B420^2)+D$76*($B420^3)+D$77/($B420^2))/1000</f>
        <v>7.5988895140372673E-2</v>
      </c>
      <c r="E420" s="17">
        <f t="shared" si="53"/>
        <v>0.94668948431048949</v>
      </c>
      <c r="F420" s="17">
        <f t="shared" si="53"/>
        <v>2.2701184791943527E-2</v>
      </c>
      <c r="G420" s="17">
        <f t="shared" si="53"/>
        <v>3.3303015089146182E-2</v>
      </c>
      <c r="H420" s="17">
        <f t="shared" si="53"/>
        <v>5.5533148077690858E-2</v>
      </c>
    </row>
    <row r="421" spans="1:8" x14ac:dyDescent="0.2">
      <c r="A421">
        <v>1114</v>
      </c>
      <c r="B421">
        <f t="shared" si="48"/>
        <v>1.1140000000000001</v>
      </c>
      <c r="C421">
        <f t="shared" si="51"/>
        <v>841</v>
      </c>
      <c r="D421" s="17">
        <f t="shared" si="53"/>
        <v>7.6023501411563679E-2</v>
      </c>
      <c r="E421" s="17">
        <f t="shared" si="53"/>
        <v>0.95029213278044289</v>
      </c>
      <c r="F421" s="17">
        <f t="shared" si="53"/>
        <v>2.27194266933218E-2</v>
      </c>
      <c r="G421" s="17">
        <f t="shared" si="53"/>
        <v>3.3308084012435055E-2</v>
      </c>
      <c r="H421" s="17">
        <f t="shared" si="53"/>
        <v>5.554306748939225E-2</v>
      </c>
    </row>
    <row r="422" spans="1:8" x14ac:dyDescent="0.2">
      <c r="A422">
        <v>1115</v>
      </c>
      <c r="B422">
        <f t="shared" si="48"/>
        <v>1.115</v>
      </c>
      <c r="C422">
        <f t="shared" si="51"/>
        <v>842</v>
      </c>
      <c r="D422" s="17">
        <f t="shared" si="53"/>
        <v>7.6058064470130957E-2</v>
      </c>
      <c r="E422" s="17">
        <f t="shared" si="53"/>
        <v>0.95390494136489234</v>
      </c>
      <c r="F422" s="17">
        <f t="shared" si="53"/>
        <v>2.2737634041962485E-2</v>
      </c>
      <c r="G422" s="17">
        <f t="shared" si="53"/>
        <v>3.3313146949786376E-2</v>
      </c>
      <c r="H422" s="17">
        <f t="shared" si="53"/>
        <v>5.5552972113040326E-2</v>
      </c>
    </row>
    <row r="423" spans="1:8" x14ac:dyDescent="0.2">
      <c r="A423">
        <v>1116</v>
      </c>
      <c r="B423">
        <f t="shared" si="48"/>
        <v>1.1160000000000001</v>
      </c>
      <c r="C423">
        <f t="shared" si="51"/>
        <v>843</v>
      </c>
      <c r="D423" s="17">
        <f t="shared" si="53"/>
        <v>7.6092584341780053E-2</v>
      </c>
      <c r="E423" s="17">
        <f t="shared" si="53"/>
        <v>0.95752792485556004</v>
      </c>
      <c r="F423" s="17">
        <f t="shared" si="53"/>
        <v>2.2755806960536789E-2</v>
      </c>
      <c r="G423" s="17">
        <f t="shared" si="53"/>
        <v>3.3318203902054817E-2</v>
      </c>
      <c r="H423" s="17">
        <f t="shared" si="53"/>
        <v>5.5562861998232613E-2</v>
      </c>
    </row>
    <row r="424" spans="1:8" x14ac:dyDescent="0.2">
      <c r="A424">
        <v>1117</v>
      </c>
      <c r="B424">
        <f t="shared" si="48"/>
        <v>1.117</v>
      </c>
      <c r="C424">
        <f t="shared" si="51"/>
        <v>844</v>
      </c>
      <c r="D424" s="17">
        <f t="shared" si="53"/>
        <v>7.6127061052258943E-2</v>
      </c>
      <c r="E424" s="17">
        <f t="shared" si="53"/>
        <v>0.96116109804440131</v>
      </c>
      <c r="F424" s="17">
        <f t="shared" si="53"/>
        <v>2.2773945571092594E-2</v>
      </c>
      <c r="G424" s="17">
        <f t="shared" si="53"/>
        <v>3.3323254870127939E-2</v>
      </c>
      <c r="H424" s="17">
        <f t="shared" si="53"/>
        <v>5.5572737194557999E-2</v>
      </c>
    </row>
    <row r="425" spans="1:8" x14ac:dyDescent="0.2">
      <c r="A425">
        <v>1118</v>
      </c>
      <c r="B425">
        <f t="shared" si="48"/>
        <v>1.1180000000000001</v>
      </c>
      <c r="C425">
        <f t="shared" si="51"/>
        <v>845</v>
      </c>
      <c r="D425" s="17">
        <f t="shared" si="53"/>
        <v>7.6161494627357676E-2</v>
      </c>
      <c r="E425" s="17">
        <f t="shared" si="53"/>
        <v>0.9648044757236196</v>
      </c>
      <c r="F425" s="17">
        <f t="shared" si="53"/>
        <v>2.279204999505783E-2</v>
      </c>
      <c r="G425" s="17">
        <f t="shared" si="53"/>
        <v>3.3328299854926101E-2</v>
      </c>
      <c r="H425" s="17">
        <f t="shared" si="53"/>
        <v>5.5582597751596963E-2</v>
      </c>
    </row>
    <row r="426" spans="1:8" x14ac:dyDescent="0.2">
      <c r="A426">
        <v>1119</v>
      </c>
      <c r="B426">
        <f t="shared" si="48"/>
        <v>1.119</v>
      </c>
      <c r="C426">
        <f t="shared" si="51"/>
        <v>846</v>
      </c>
      <c r="D426" s="17">
        <f t="shared" si="53"/>
        <v>7.6195885092908255E-2</v>
      </c>
      <c r="E426" s="17">
        <f t="shared" si="53"/>
        <v>0.96845807268564787</v>
      </c>
      <c r="F426" s="17">
        <f t="shared" si="53"/>
        <v>2.2810120353243788E-2</v>
      </c>
      <c r="G426" s="17">
        <f t="shared" si="53"/>
        <v>3.3333338857402257E-2</v>
      </c>
      <c r="H426" s="17">
        <f t="shared" si="53"/>
        <v>5.5592443718921476E-2</v>
      </c>
    </row>
    <row r="427" spans="1:8" x14ac:dyDescent="0.2">
      <c r="A427">
        <v>1120</v>
      </c>
      <c r="B427">
        <f t="shared" si="48"/>
        <v>1.1200000000000001</v>
      </c>
      <c r="C427">
        <f t="shared" si="51"/>
        <v>847</v>
      </c>
      <c r="D427" s="17">
        <f t="shared" si="53"/>
        <v>7.6230232474784415E-2</v>
      </c>
      <c r="E427" s="17">
        <f t="shared" si="53"/>
        <v>0.97212190372316387</v>
      </c>
      <c r="F427" s="17">
        <f t="shared" si="53"/>
        <v>2.2828156765848408E-2</v>
      </c>
      <c r="G427" s="17">
        <f t="shared" si="53"/>
        <v>3.3338371878541793E-2</v>
      </c>
      <c r="H427" s="17">
        <f t="shared" si="53"/>
        <v>5.5602275146095191E-2</v>
      </c>
    </row>
    <row r="428" spans="1:8" x14ac:dyDescent="0.2">
      <c r="A428">
        <v>1121</v>
      </c>
      <c r="B428">
        <f t="shared" si="48"/>
        <v>1.121</v>
      </c>
      <c r="C428">
        <f t="shared" si="51"/>
        <v>848</v>
      </c>
      <c r="D428" s="17">
        <f t="shared" si="53"/>
        <v>7.62645367989013E-2</v>
      </c>
      <c r="E428" s="17">
        <f t="shared" si="53"/>
        <v>0.9757959836290746</v>
      </c>
      <c r="F428" s="17">
        <f t="shared" si="53"/>
        <v>2.2846159352459608E-2</v>
      </c>
      <c r="G428" s="17">
        <f t="shared" si="53"/>
        <v>3.3343398919362319E-2</v>
      </c>
      <c r="H428" s="17">
        <f t="shared" si="53"/>
        <v>5.5612092082673314E-2</v>
      </c>
    </row>
    <row r="429" spans="1:8" x14ac:dyDescent="0.2">
      <c r="A429">
        <v>1122</v>
      </c>
      <c r="B429">
        <f t="shared" si="48"/>
        <v>1.1220000000000001</v>
      </c>
      <c r="C429">
        <f t="shared" si="51"/>
        <v>849</v>
      </c>
      <c r="D429" s="17">
        <f t="shared" si="53"/>
        <v>7.6298798091215411E-2</v>
      </c>
      <c r="E429" s="17">
        <f t="shared" si="53"/>
        <v>0.979480327196526</v>
      </c>
      <c r="F429" s="17">
        <f t="shared" si="53"/>
        <v>2.2864128232058488E-2</v>
      </c>
      <c r="G429" s="17">
        <f t="shared" si="53"/>
        <v>3.3348419980913542E-2</v>
      </c>
      <c r="H429" s="17">
        <f t="shared" si="53"/>
        <v>5.5621894578202831E-2</v>
      </c>
    </row>
    <row r="430" spans="1:8" x14ac:dyDescent="0.2">
      <c r="A430">
        <v>1123</v>
      </c>
      <c r="B430">
        <f t="shared" si="48"/>
        <v>1.123</v>
      </c>
      <c r="C430">
        <f t="shared" si="51"/>
        <v>850</v>
      </c>
      <c r="D430" s="17">
        <f t="shared" si="53"/>
        <v>7.6333016377724133E-2</v>
      </c>
      <c r="E430" s="17">
        <f t="shared" si="53"/>
        <v>0.98317494921889348</v>
      </c>
      <c r="F430" s="17">
        <f t="shared" si="53"/>
        <v>2.2882063523022592E-2</v>
      </c>
      <c r="G430" s="17">
        <f t="shared" si="53"/>
        <v>3.3353435064277057E-2</v>
      </c>
      <c r="H430" s="17">
        <f t="shared" si="53"/>
        <v>5.5631682682222419E-2</v>
      </c>
    </row>
    <row r="431" spans="1:8" x14ac:dyDescent="0.2">
      <c r="A431">
        <v>1124</v>
      </c>
      <c r="B431">
        <f t="shared" si="48"/>
        <v>1.1240000000000001</v>
      </c>
      <c r="C431">
        <f t="shared" si="51"/>
        <v>851</v>
      </c>
      <c r="D431" s="17">
        <f t="shared" si="53"/>
        <v>7.6367191684465818E-2</v>
      </c>
      <c r="E431" s="17">
        <f t="shared" si="53"/>
        <v>0.98687986448978793</v>
      </c>
      <c r="F431" s="17">
        <f t="shared" si="53"/>
        <v>2.2899965343129155E-2</v>
      </c>
      <c r="G431" s="17">
        <f t="shared" si="53"/>
        <v>3.3358444170566222E-2</v>
      </c>
      <c r="H431" s="17">
        <f t="shared" si="53"/>
        <v>5.5641456444262542E-2</v>
      </c>
    </row>
    <row r="484" spans="12:12" x14ac:dyDescent="0.2">
      <c r="L484" s="1"/>
    </row>
    <row r="486" spans="12:12" x14ac:dyDescent="0.2">
      <c r="L486" s="1"/>
    </row>
    <row r="488" spans="12:12" x14ac:dyDescent="0.2">
      <c r="L488" s="1"/>
    </row>
    <row r="490" spans="12:12" x14ac:dyDescent="0.2">
      <c r="L490" s="1"/>
    </row>
    <row r="492" spans="12:12" x14ac:dyDescent="0.2">
      <c r="L492" s="1"/>
    </row>
    <row r="494" spans="12:12" x14ac:dyDescent="0.2">
      <c r="L494" s="1"/>
    </row>
    <row r="496" spans="12:12" x14ac:dyDescent="0.2">
      <c r="L496" s="1"/>
    </row>
    <row r="498" spans="12:12" x14ac:dyDescent="0.2">
      <c r="L498" s="1"/>
    </row>
    <row r="500" spans="12:12" x14ac:dyDescent="0.2">
      <c r="L500" s="1"/>
    </row>
    <row r="502" spans="12:12" x14ac:dyDescent="0.2">
      <c r="L502" s="1"/>
    </row>
    <row r="504" spans="12:12" x14ac:dyDescent="0.2">
      <c r="L504" s="1"/>
    </row>
    <row r="506" spans="12:12" x14ac:dyDescent="0.2">
      <c r="L506" s="1"/>
    </row>
    <row r="508" spans="12:12" x14ac:dyDescent="0.2">
      <c r="L508" s="1"/>
    </row>
    <row r="510" spans="12:12" x14ac:dyDescent="0.2">
      <c r="L510" s="1"/>
    </row>
    <row r="512" spans="12:12" x14ac:dyDescent="0.2">
      <c r="L512" s="1"/>
    </row>
    <row r="514" spans="12:12" x14ac:dyDescent="0.2">
      <c r="L514" s="1"/>
    </row>
    <row r="516" spans="12:12" x14ac:dyDescent="0.2">
      <c r="L516" s="1"/>
    </row>
    <row r="518" spans="12:12" x14ac:dyDescent="0.2">
      <c r="L518" s="1"/>
    </row>
    <row r="520" spans="12:12" x14ac:dyDescent="0.2">
      <c r="L520" s="1"/>
    </row>
    <row r="522" spans="12:12" x14ac:dyDescent="0.2">
      <c r="L522" s="1"/>
    </row>
    <row r="524" spans="12:12" x14ac:dyDescent="0.2">
      <c r="L524" s="1"/>
    </row>
    <row r="526" spans="12:12" x14ac:dyDescent="0.2">
      <c r="L526" s="1"/>
    </row>
    <row r="528" spans="12:12" x14ac:dyDescent="0.2">
      <c r="L528" s="1"/>
    </row>
    <row r="530" spans="12:12" x14ac:dyDescent="0.2">
      <c r="L530" s="1"/>
    </row>
    <row r="532" spans="12:12" x14ac:dyDescent="0.2">
      <c r="L532" s="1"/>
    </row>
    <row r="534" spans="12:12" x14ac:dyDescent="0.2">
      <c r="L534" s="1"/>
    </row>
    <row r="536" spans="12:12" x14ac:dyDescent="0.2">
      <c r="L536" s="1"/>
    </row>
    <row r="538" spans="12:12" x14ac:dyDescent="0.2">
      <c r="L538" s="1"/>
    </row>
    <row r="540" spans="12:12" x14ac:dyDescent="0.2">
      <c r="L540" s="1"/>
    </row>
    <row r="542" spans="12:12" x14ac:dyDescent="0.2">
      <c r="L542" s="1"/>
    </row>
    <row r="544" spans="12:12" x14ac:dyDescent="0.2">
      <c r="L544" s="1"/>
    </row>
    <row r="546" spans="12:12" x14ac:dyDescent="0.2">
      <c r="L546" s="1"/>
    </row>
  </sheetData>
  <phoneticPr fontId="6" type="noConversion"/>
  <hyperlinks>
    <hyperlink ref="AD53" r:id="rId1" xr:uid="{BCD52316-A63D-F341-8EA9-7727BAE1DE6F}"/>
    <hyperlink ref="AC53" r:id="rId2" xr:uid="{DC254171-742C-7142-B7F0-7DC0B1D90B24}"/>
  </hyperlinks>
  <pageMargins left="0.7" right="0.7" top="0.75" bottom="0.75" header="0.3" footer="0.3"/>
  <pageSetup paperSize="9"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Output comparison</vt:lpstr>
      <vt:lpstr>OCMC eSMR</vt:lpstr>
      <vt:lpstr>OCMC eSMR NASA</vt:lpstr>
      <vt:lpstr>Sheet1</vt:lpstr>
      <vt:lpstr>SMR, WGSR, C-forming, C2H6</vt:lpstr>
      <vt:lpstr>SMR, rev. DMR, C-forming, C2H6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Schüler | CKS</dc:creator>
  <cp:lastModifiedBy>Nils Schüler | CKS</cp:lastModifiedBy>
  <dcterms:created xsi:type="dcterms:W3CDTF">2026-04-10T15:01:25Z</dcterms:created>
  <dcterms:modified xsi:type="dcterms:W3CDTF">2026-05-11T13:33:28Z</dcterms:modified>
</cp:coreProperties>
</file>